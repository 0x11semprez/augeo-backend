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42460\Desktop\DEVIS ET TARIFS\"/>
    </mc:Choice>
  </mc:AlternateContent>
  <bookViews>
    <workbookView xWindow="-120" yWindow="-120" windowWidth="29040" windowHeight="15720"/>
  </bookViews>
  <sheets>
    <sheet name="Devis NTR 2026(calculs auto.)" sheetId="6" r:id="rId1"/>
    <sheet name="Devis NTR 2026(vierge)" sheetId="5" r:id="rId2"/>
    <sheet name="FORFAITS 2026" sheetId="4" r:id="rId3"/>
  </sheets>
  <definedNames>
    <definedName name="_xlnm.Print_Area" localSheetId="0">'Devis NTR 2026(calculs auto.)'!$A$1:$I$35</definedName>
    <definedName name="_xlnm.Print_Area" localSheetId="1">'Devis NTR 2026(vierge)'!$A$1:$I$35</definedName>
    <definedName name="_xlnm.Print_Area" localSheetId="2">'FORFAITS 2026'!$A$1:$P$16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4" l="1"/>
  <c r="O16" i="4"/>
  <c r="K16" i="4" l="1"/>
  <c r="M16" i="4" l="1"/>
  <c r="N16" i="4"/>
  <c r="J16" i="4"/>
  <c r="L16" i="4"/>
  <c r="I16" i="4"/>
</calcChain>
</file>

<file path=xl/sharedStrings.xml><?xml version="1.0" encoding="utf-8"?>
<sst xmlns="http://schemas.openxmlformats.org/spreadsheetml/2006/main" count="129" uniqueCount="77">
  <si>
    <t>Prix unitaire TTC</t>
  </si>
  <si>
    <t>Qté</t>
  </si>
  <si>
    <t>Total</t>
  </si>
  <si>
    <t>Total de la commande</t>
  </si>
  <si>
    <t xml:space="preserve"> </t>
  </si>
  <si>
    <t>Je, soussigné(e) …………………………............................................................……………, passe commande des prestations ci-dessus désignées et m'engage à régler la facture qui sera établie, après vérification du détail inscrit sur le présent bon de commande par le gestionnaire de la maison funéraire.</t>
  </si>
  <si>
    <t>BON DE COMMANDE POUR LE SEJOUR D'UN DEFUNT</t>
  </si>
  <si>
    <t>Opérateur Funéraire / Ville</t>
  </si>
  <si>
    <r>
      <rPr>
        <b/>
        <sz val="12"/>
        <color theme="1"/>
        <rFont val="Calibri"/>
        <family val="2"/>
        <scheme val="minor"/>
      </rPr>
      <t>Cachet de l'entreprise</t>
    </r>
    <r>
      <rPr>
        <sz val="12"/>
        <color theme="1"/>
        <rFont val="Calibri"/>
        <family val="2"/>
        <scheme val="minor"/>
      </rPr>
      <t xml:space="preserve"> de pompes funèbres passant commande                                                                                                       avec </t>
    </r>
    <r>
      <rPr>
        <b/>
        <sz val="12"/>
        <color theme="1"/>
        <rFont val="Calibri"/>
        <family val="2"/>
        <scheme val="minor"/>
      </rPr>
      <t>Nom Entreprise - Agence</t>
    </r>
    <r>
      <rPr>
        <sz val="12"/>
        <color theme="1"/>
        <rFont val="Calibri"/>
        <family val="2"/>
        <scheme val="minor"/>
      </rPr>
      <t xml:space="preserve"> et/ou</t>
    </r>
    <r>
      <rPr>
        <b/>
        <sz val="12"/>
        <color theme="1"/>
        <rFont val="Calibri"/>
        <family val="2"/>
        <scheme val="minor"/>
      </rPr>
      <t xml:space="preserve"> Ville - Nom du représentant et N° d'habilitation</t>
    </r>
  </si>
  <si>
    <t>Frais d'admission</t>
  </si>
  <si>
    <t xml:space="preserve">Utilisation des installations techniques  </t>
  </si>
  <si>
    <t>Séjour et présentation en salon privé permanent (pendant les horaires d'ouverture)</t>
  </si>
  <si>
    <t>Séjour et présentation en salon d'honneur permanent (pendant les horaires d'ouverture)</t>
  </si>
  <si>
    <t>Supplément pour admission à la maison funéraire durant les horaires de nuit, les dimanches et les jours fériés (entre 19heures et 07 heures)</t>
  </si>
  <si>
    <r>
      <rPr>
        <b/>
        <sz val="12"/>
        <color theme="1"/>
        <rFont val="Calibri"/>
        <family val="2"/>
        <scheme val="minor"/>
      </rPr>
      <t xml:space="preserve">Signature  </t>
    </r>
    <r>
      <rPr>
        <sz val="11"/>
        <color theme="1"/>
        <rFont val="Calibri"/>
        <family val="2"/>
        <scheme val="minor"/>
      </rPr>
      <t xml:space="preserve">                                                                     </t>
    </r>
    <r>
      <rPr>
        <sz val="10"/>
        <color theme="1"/>
        <rFont val="Calibri"/>
        <family val="2"/>
        <scheme val="minor"/>
      </rPr>
      <t>(précédé de "Bon pour accord")</t>
    </r>
  </si>
  <si>
    <t>Le taux de TVA appliqué aux prestations ci-dessus est de 20%</t>
  </si>
  <si>
    <t>les tarifs généraux concernent les prestations éxécutées entre 07h00 et 19h00.</t>
  </si>
  <si>
    <t>En dehors de ces horaires, ainsi que les dimanches et jours fériés, une majoration de 50% sera appliquée.</t>
  </si>
  <si>
    <t>TARIFS DU FUNERARIUM DU MONT VALERIEN - NANTERRE</t>
  </si>
  <si>
    <t>Séjour et présentation temporaire en salon privé (dans la limite d'une heure par jour)</t>
  </si>
  <si>
    <t>Séjour et présentation temporaire en salon d'honneur (dans la limite d'une heure par jour)</t>
  </si>
  <si>
    <t>Prix H.T.</t>
  </si>
  <si>
    <t>Prix unitaire T.T.C.</t>
  </si>
  <si>
    <t>TVA 20%</t>
  </si>
  <si>
    <t>42, chemin des cendres 92000 NANTERRE 01 47 28 83 83                                                             Habilitation n° 21-92-0221</t>
  </si>
  <si>
    <t>NANTERRE Le</t>
  </si>
  <si>
    <t xml:space="preserve">                €</t>
  </si>
  <si>
    <t xml:space="preserve">                 €</t>
  </si>
  <si>
    <t xml:space="preserve">Nom de jeune fille  </t>
  </si>
  <si>
    <t>M Mme</t>
  </si>
  <si>
    <t xml:space="preserve">Nom </t>
  </si>
  <si>
    <t>Prénom</t>
  </si>
  <si>
    <t xml:space="preserve">       </t>
  </si>
  <si>
    <t xml:space="preserve">Taille du défunt      </t>
  </si>
  <si>
    <t>Epaulement</t>
  </si>
  <si>
    <t>Coude à coude</t>
  </si>
  <si>
    <t>Epaisseur</t>
  </si>
  <si>
    <t>Ville de décès</t>
  </si>
  <si>
    <t>Code postal</t>
  </si>
  <si>
    <t>code DSPMFNTR</t>
  </si>
  <si>
    <t>PRESTATIONS</t>
  </si>
  <si>
    <t>MERCI de compléter avec votre signature et votre tampon lisible, et de nous le retourner par email avant le départ de votre convoi</t>
  </si>
  <si>
    <t>Mise à disposition du laboratoire pour les toilettes cultuelles</t>
  </si>
  <si>
    <t>Défunt                  avec salon permanent</t>
  </si>
  <si>
    <t>Défunt                     sans salon</t>
  </si>
  <si>
    <t>Défunt                     avec salon</t>
  </si>
  <si>
    <t>Défunt                           en transit</t>
  </si>
  <si>
    <t>Défunt                     avec salon +      départ FARO</t>
  </si>
  <si>
    <t>Défunt                     avec salon +     toilette cultuelle</t>
  </si>
  <si>
    <t>Défunt                          avec salon     permanent FARO</t>
  </si>
  <si>
    <r>
      <t xml:space="preserve">A LA </t>
    </r>
    <r>
      <rPr>
        <b/>
        <sz val="24"/>
        <color theme="1"/>
        <rFont val="Calibri"/>
        <family val="2"/>
        <scheme val="minor"/>
      </rPr>
      <t>MAISON FUNERAIRE DU MONT VALERIEN</t>
    </r>
    <r>
      <rPr>
        <b/>
        <sz val="20"/>
        <color theme="1"/>
        <rFont val="Calibri"/>
        <family val="2"/>
        <scheme val="minor"/>
      </rPr>
      <t xml:space="preserve"> - </t>
    </r>
    <r>
      <rPr>
        <b/>
        <sz val="24"/>
        <color theme="1"/>
        <rFont val="Calibri"/>
        <family val="2"/>
        <scheme val="minor"/>
      </rPr>
      <t>NANTERRE</t>
    </r>
  </si>
  <si>
    <t>Tarifs de référence à la date du 1er janvier 2026</t>
  </si>
  <si>
    <t xml:space="preserve">OGF SERVICES FUNERAIRES : Société par actions simplifiée, au capital social de 252 951 399,22 €, </t>
  </si>
  <si>
    <t xml:space="preserve">dont le siège social est situé à l’Immeuble Canopy 6 rue du général Audran 92400 COURBEVOIE, immatriculée au RCS de Nanterre 828 160 069 </t>
  </si>
  <si>
    <t>N° DOSSIER CLIENT HOMMAGE Agence</t>
  </si>
  <si>
    <r>
      <t xml:space="preserve">Supplément pour admission à la maison funéraire durant les horaires de nuit, les dimanches et les jours fériés (entre 19 heures et 07 heures)                                                                                          </t>
    </r>
    <r>
      <rPr>
        <b/>
        <i/>
        <sz val="14"/>
        <color theme="0" tint="-0.249977111117893"/>
        <rFont val="Calibri"/>
        <family val="2"/>
        <scheme val="minor"/>
      </rPr>
      <t xml:space="preserve">   </t>
    </r>
    <r>
      <rPr>
        <i/>
        <sz val="14"/>
        <color theme="0" tint="-0.249977111117893"/>
        <rFont val="Calibri"/>
        <family val="2"/>
        <scheme val="minor"/>
      </rPr>
      <t xml:space="preserve"> </t>
    </r>
    <r>
      <rPr>
        <b/>
        <i/>
        <sz val="14"/>
        <color theme="0" tint="-0.249977111117893"/>
        <rFont val="Calibri"/>
        <family val="2"/>
        <scheme val="minor"/>
      </rPr>
      <t>code 720NTR</t>
    </r>
  </si>
  <si>
    <r>
      <t xml:space="preserve">Séjour et présentation temporaire en salon privé (dans la limite d'une heure par jour)     </t>
    </r>
    <r>
      <rPr>
        <b/>
        <i/>
        <sz val="14"/>
        <color theme="0" tint="-0.249977111117893"/>
        <rFont val="Calibri"/>
        <family val="2"/>
        <scheme val="minor"/>
      </rPr>
      <t>code 728NTR</t>
    </r>
  </si>
  <si>
    <r>
      <t xml:space="preserve">Séjour et présentation en salon privé permanent (pendant les horaires d'ouverture)        </t>
    </r>
    <r>
      <rPr>
        <b/>
        <i/>
        <sz val="14"/>
        <color theme="0" tint="-0.249977111117893"/>
        <rFont val="Calibri"/>
        <family val="2"/>
        <scheme val="minor"/>
      </rPr>
      <t>code 743NTR</t>
    </r>
  </si>
  <si>
    <r>
      <t xml:space="preserve">Séjour et présentation temporaire en salon d'honneur (dans la limite d'une heure par jour)                                                                                                                                                            </t>
    </r>
    <r>
      <rPr>
        <b/>
        <i/>
        <sz val="14"/>
        <color theme="0" tint="-0.249977111117893"/>
        <rFont val="Calibri"/>
        <family val="2"/>
        <scheme val="minor"/>
      </rPr>
      <t>code 724NTR</t>
    </r>
  </si>
  <si>
    <r>
      <t xml:space="preserve">Séjour et présentation en salon d'honneur permanent (pendant les horaires d'ouverture)                                                                                             </t>
    </r>
    <r>
      <rPr>
        <b/>
        <i/>
        <sz val="14"/>
        <color theme="0" tint="-0.249977111117893"/>
        <rFont val="Calibri"/>
        <family val="2"/>
        <scheme val="minor"/>
      </rPr>
      <t>code 740NTR</t>
    </r>
  </si>
  <si>
    <r>
      <t xml:space="preserve">Mise à disposition du laboratoire pour une toilette cultuelle                                                       </t>
    </r>
    <r>
      <rPr>
        <b/>
        <i/>
        <sz val="14"/>
        <color theme="0" tint="-0.249977111117893"/>
        <rFont val="Calibri"/>
        <family val="2"/>
        <scheme val="minor"/>
      </rPr>
      <t>code 747NTR</t>
    </r>
  </si>
  <si>
    <r>
      <t xml:space="preserve">Frais d'admission CERCUEIL EN TRANSIT                                                                                                </t>
    </r>
    <r>
      <rPr>
        <b/>
        <i/>
        <sz val="14"/>
        <color theme="0" tint="-0.249977111117893"/>
        <rFont val="Calibri"/>
        <family val="2"/>
        <scheme val="minor"/>
      </rPr>
      <t xml:space="preserve">  code 705NTR</t>
    </r>
  </si>
  <si>
    <t xml:space="preserve">Date &amp; Heure d'admission                                                  à     ... ...  h  ... ...  </t>
  </si>
  <si>
    <t xml:space="preserve">Date &amp; Heure de départ                                                       à     ... ...  h  ... ...  </t>
  </si>
  <si>
    <t xml:space="preserve">Né(e) le                                                            Décédé(e)  le                                               à     ... ...  h  ... ...  </t>
  </si>
  <si>
    <t>42, chemin des cendres 92000 NANTERRE  01 47 28 83 83                                                          Habilitation n° 21-92-0221</t>
  </si>
  <si>
    <r>
      <t xml:space="preserve">Frais d'admission                                                                                                                                           </t>
    </r>
    <r>
      <rPr>
        <b/>
        <i/>
        <sz val="14"/>
        <color theme="0" tint="-0.249977111117893"/>
        <rFont val="Calibri"/>
        <family val="2"/>
        <scheme val="minor"/>
      </rPr>
      <t xml:space="preserve"> code 704NTR</t>
    </r>
  </si>
  <si>
    <r>
      <t xml:space="preserve">Utilisation des installations techniques                                                                                              </t>
    </r>
    <r>
      <rPr>
        <b/>
        <i/>
        <sz val="14"/>
        <color theme="0" tint="-0.249977111117893"/>
        <rFont val="Calibri"/>
        <family val="2"/>
        <scheme val="minor"/>
      </rPr>
      <t>code 756NTR</t>
    </r>
  </si>
  <si>
    <t>En apposant ma signature ci-dessous, j'ai pris connaissance que le tarif applicable est celui du jour où la commande est passée au gestionnaire de la maison funéraire. En cas d'erreur de ma part, j'autorise le gestionniare de la maison funéraire à rectifier ladite commande et à établir la facture correspondante sur la base du tarif applicable au jour de la passation.</t>
  </si>
  <si>
    <t>Tarifs de référence à la date du 1er Janvier 2026</t>
  </si>
  <si>
    <t>Défunt                     avec salon           arrivée nuit / dimanche / jours fériés</t>
  </si>
  <si>
    <t>FORFAITS 2026</t>
  </si>
  <si>
    <t xml:space="preserve">Taille du défunt:                               CM      </t>
  </si>
  <si>
    <t>Coude à coude:                                 CM</t>
  </si>
  <si>
    <t>Epaulement:                                       CM</t>
  </si>
  <si>
    <t>Epaisseur:                                             CM</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</si>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</sst>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0.00\ &quot;€&quot;_-;\-* #,##0.00\ &quot;€&quot;_-;_-* &quot;-&quot;??\ &quot;€&quot;_-;_-@_-"/>
    <numFmt numFmtId="164" formatCode="#,##0.00\ &quot;€&quot;"/>
    <numFmt numFmtId="165" formatCode="_-* #,##0.00\ [$€-40C]_-;\-* #,##0.00\ [$€-40C]_-;_-* &quot;-&quot;??\ [$€-40C]_-;_-@_-"/>
  </numFmts>
  <fonts count="3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0"/>
      <color theme="1"/>
      <name val="Calibri"/>
      <family val="2"/>
      <scheme val="minor"/>
    </font>
    <font>
      <sz val="12"/>
      <color theme="1"/>
      <name val="Calibri"/>
      <family val="2"/>
      <scheme val="minor"/>
    </font>
    <font>
      <sz val="9"/>
      <color theme="1"/>
      <name val="Calibri"/>
      <family val="2"/>
      <scheme val="minor"/>
    </font>
    <font>
      <b/>
      <i/>
      <sz val="11"/>
      <color theme="1"/>
      <name val="Calibri"/>
      <family val="2"/>
      <scheme val="minor"/>
    </font>
    <font>
      <b/>
      <i/>
      <sz val="14"/>
      <color theme="1"/>
      <name val="Calibri"/>
      <family val="2"/>
      <scheme val="minor"/>
    </font>
    <font>
      <sz val="14"/>
      <color theme="1"/>
      <name val="Calibri"/>
      <family val="2"/>
      <scheme val="minor"/>
    </font>
    <font>
      <b/>
      <sz val="16"/>
      <color theme="1"/>
      <name val="Calibri"/>
      <family val="2"/>
      <scheme val="minor"/>
    </font>
    <font>
      <b/>
      <sz val="10"/>
      <color theme="1"/>
      <name val="Calibri"/>
      <family val="2"/>
      <scheme val="minor"/>
    </font>
    <font>
      <b/>
      <sz val="20"/>
      <color theme="1"/>
      <name val="Calibri"/>
      <family val="2"/>
      <scheme val="minor"/>
    </font>
    <font>
      <b/>
      <i/>
      <sz val="16"/>
      <color theme="1"/>
      <name val="Calibri"/>
      <family val="2"/>
      <scheme val="minor"/>
    </font>
    <font>
      <sz val="16"/>
      <color theme="1"/>
      <name val="Calibri"/>
      <family val="2"/>
      <scheme val="minor"/>
    </font>
    <font>
      <sz val="11"/>
      <color theme="1"/>
      <name val="Calibri"/>
      <family val="2"/>
      <scheme val="minor"/>
    </font>
    <font>
      <b/>
      <sz val="24"/>
      <color theme="1"/>
      <name val="Calibri"/>
      <family val="2"/>
      <scheme val="minor"/>
    </font>
    <font>
      <b/>
      <sz val="22"/>
      <color theme="1"/>
      <name val="Calibri"/>
      <family val="2"/>
      <scheme val="minor"/>
    </font>
    <font>
      <b/>
      <i/>
      <sz val="10"/>
      <color theme="1"/>
      <name val="Calibri"/>
      <family val="2"/>
      <scheme val="minor"/>
    </font>
    <font>
      <b/>
      <i/>
      <sz val="12"/>
      <color theme="1"/>
      <name val="Calibri"/>
      <family val="2"/>
      <scheme val="minor"/>
    </font>
    <font>
      <b/>
      <u/>
      <sz val="14"/>
      <color theme="1"/>
      <name val="Calibri"/>
      <family val="2"/>
      <scheme val="minor"/>
    </font>
    <font>
      <i/>
      <sz val="12"/>
      <color theme="1"/>
      <name val="Calibri"/>
      <family val="2"/>
      <scheme val="minor"/>
    </font>
    <font>
      <i/>
      <sz val="14"/>
      <color theme="1"/>
      <name val="Calibri"/>
      <family val="2"/>
      <scheme val="minor"/>
    </font>
    <font>
      <b/>
      <i/>
      <sz val="20"/>
      <color theme="1"/>
      <name val="Calibri"/>
      <family val="2"/>
      <scheme val="minor"/>
    </font>
    <font>
      <b/>
      <sz val="26"/>
      <color theme="1"/>
      <name val="Calibri"/>
      <family val="2"/>
      <scheme val="minor"/>
    </font>
    <font>
      <b/>
      <i/>
      <sz val="14"/>
      <color theme="0" tint="-0.249977111117893"/>
      <name val="Calibri"/>
      <family val="2"/>
      <scheme val="minor"/>
    </font>
    <font>
      <i/>
      <sz val="14"/>
      <color theme="0" tint="-0.249977111117893"/>
      <name val="Calibri"/>
      <family val="2"/>
      <scheme val="minor"/>
    </font>
    <font>
      <b/>
      <i/>
      <sz val="14"/>
      <color theme="0" tint="-0.34998626667073579"/>
      <name val="Calibri"/>
      <family val="2"/>
      <scheme val="minor"/>
    </font>
    <font>
      <b/>
      <sz val="16"/>
      <color rgb="FFFF0000"/>
      <name val="Calibri"/>
      <family val="2"/>
      <scheme val="minor"/>
    </font>
    <font>
      <b/>
      <u/>
      <sz val="14"/>
      <color rgb="FFFF000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7"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right/>
      <top style="thin">
        <color indexed="64"/>
      </top>
      <bottom style="thin">
        <color theme="0" tint="-0.34998626667073579"/>
      </bottom>
      <diagonal/>
    </border>
    <border>
      <left/>
      <right/>
      <top style="thin">
        <color theme="0" tint="-0.34998626667073579"/>
      </top>
      <bottom style="thin">
        <color theme="0" tint="-0.34998626667073579"/>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thin">
        <color theme="0" tint="-0.14996795556505021"/>
      </left>
      <right style="thin">
        <color theme="0" tint="-0.14996795556505021"/>
      </right>
      <top style="thin">
        <color indexed="64"/>
      </top>
      <bottom/>
      <diagonal/>
    </border>
    <border>
      <left style="thin">
        <color indexed="64"/>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auto="1"/>
      </right>
      <top style="thin">
        <color auto="1"/>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44" fontId="15" fillId="0" borderId="0" applyFont="0" applyFill="0" applyBorder="0" applyAlignment="0" applyProtection="0"/>
  </cellStyleXfs>
  <cellXfs count="176">
    <xf numFmtId="0" fontId="0" fillId="0" borderId="0" xfId="0"/>
    <xf numFmtId="0" fontId="7" fillId="0" borderId="1" xfId="0" applyFont="1" applyBorder="1" applyAlignment="1">
      <alignment horizontal="center" vertical="center" wrapText="1"/>
    </xf>
    <xf numFmtId="0" fontId="0" fillId="0" borderId="21" xfId="0" applyBorder="1"/>
    <xf numFmtId="0" fontId="0" fillId="0" borderId="1" xfId="0" applyBorder="1" applyAlignment="1">
      <alignment horizontal="center" vertical="top" wrapText="1"/>
    </xf>
    <xf numFmtId="0" fontId="9" fillId="0" borderId="0" xfId="0" applyFont="1"/>
    <xf numFmtId="0" fontId="1" fillId="0" borderId="11" xfId="0" applyFont="1" applyBorder="1" applyAlignment="1">
      <alignment vertical="top"/>
    </xf>
    <xf numFmtId="0" fontId="1" fillId="0" borderId="12" xfId="0" applyFont="1" applyBorder="1" applyAlignment="1">
      <alignment vertical="top"/>
    </xf>
    <xf numFmtId="0" fontId="1" fillId="0" borderId="13" xfId="0" applyFont="1" applyBorder="1" applyAlignment="1">
      <alignment vertical="top"/>
    </xf>
    <xf numFmtId="0" fontId="1" fillId="0" borderId="0" xfId="0" applyFont="1" applyAlignment="1">
      <alignment vertical="top"/>
    </xf>
    <xf numFmtId="0" fontId="1" fillId="0" borderId="14" xfId="0" applyFont="1" applyBorder="1" applyAlignment="1">
      <alignment vertical="top"/>
    </xf>
    <xf numFmtId="0" fontId="1" fillId="0" borderId="15" xfId="0" applyFont="1" applyBorder="1" applyAlignment="1">
      <alignment vertical="top"/>
    </xf>
    <xf numFmtId="0" fontId="1" fillId="0" borderId="16" xfId="0" applyFont="1" applyBorder="1" applyAlignment="1">
      <alignment vertical="top"/>
    </xf>
    <xf numFmtId="0" fontId="1" fillId="0" borderId="17" xfId="0" applyFont="1" applyBorder="1" applyAlignment="1">
      <alignment vertical="top"/>
    </xf>
    <xf numFmtId="0" fontId="11" fillId="0" borderId="10" xfId="0" applyFont="1" applyBorder="1" applyAlignment="1">
      <alignment vertical="top"/>
    </xf>
    <xf numFmtId="0" fontId="2" fillId="0" borderId="22" xfId="0" applyFont="1" applyBorder="1"/>
    <xf numFmtId="0" fontId="2" fillId="0" borderId="0" xfId="0" applyFont="1"/>
    <xf numFmtId="0" fontId="2" fillId="0" borderId="23" xfId="0" applyFont="1" applyBorder="1"/>
    <xf numFmtId="0" fontId="14" fillId="0" borderId="0" xfId="0" applyFont="1"/>
    <xf numFmtId="164" fontId="10" fillId="0" borderId="19" xfId="0" applyNumberFormat="1" applyFont="1" applyBorder="1" applyAlignment="1">
      <alignment horizontal="right"/>
    </xf>
    <xf numFmtId="164" fontId="14" fillId="0" borderId="1" xfId="0" applyNumberFormat="1" applyFont="1" applyBorder="1" applyAlignment="1">
      <alignment horizontal="right" vertical="center" wrapText="1"/>
    </xf>
    <xf numFmtId="0" fontId="0" fillId="0" borderId="26" xfId="0" applyBorder="1"/>
    <xf numFmtId="0" fontId="2" fillId="0" borderId="16" xfId="0" applyFont="1" applyBorder="1"/>
    <xf numFmtId="0" fontId="2" fillId="0" borderId="19" xfId="0" applyFont="1" applyBorder="1"/>
    <xf numFmtId="164" fontId="9" fillId="0" borderId="20" xfId="0" applyNumberFormat="1"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0" fillId="0" borderId="15" xfId="0" applyBorder="1"/>
    <xf numFmtId="0" fontId="0" fillId="0" borderId="16" xfId="0" applyBorder="1"/>
    <xf numFmtId="0" fontId="0" fillId="0" borderId="17" xfId="0" applyBorder="1"/>
    <xf numFmtId="0" fontId="2" fillId="0" borderId="18" xfId="0" applyFont="1" applyBorder="1"/>
    <xf numFmtId="164" fontId="17" fillId="0" borderId="19" xfId="0" applyNumberFormat="1" applyFont="1" applyBorder="1" applyAlignment="1">
      <alignment horizontal="right" vertical="center"/>
    </xf>
    <xf numFmtId="0" fontId="19" fillId="0" borderId="0" xfId="0" applyFont="1"/>
    <xf numFmtId="0" fontId="0" fillId="0" borderId="0" xfId="0" applyAlignment="1">
      <alignment horizontal="center" vertical="top" wrapText="1"/>
    </xf>
    <xf numFmtId="164" fontId="10" fillId="0" borderId="11" xfId="0" applyNumberFormat="1" applyFont="1" applyBorder="1" applyAlignment="1">
      <alignment horizontal="right"/>
    </xf>
    <xf numFmtId="164" fontId="14" fillId="0" borderId="37" xfId="0" applyNumberFormat="1" applyFont="1" applyBorder="1" applyAlignment="1">
      <alignment horizontal="right" vertical="center" wrapText="1"/>
    </xf>
    <xf numFmtId="164" fontId="17" fillId="0" borderId="16" xfId="0" applyNumberFormat="1" applyFont="1" applyBorder="1" applyAlignment="1">
      <alignment horizontal="right" vertical="center"/>
    </xf>
    <xf numFmtId="0" fontId="8" fillId="0" borderId="32" xfId="0" applyFont="1" applyBorder="1" applyAlignment="1">
      <alignment horizontal="center" vertical="center" wrapText="1"/>
    </xf>
    <xf numFmtId="0" fontId="7" fillId="0" borderId="38" xfId="0" applyFont="1" applyBorder="1" applyAlignment="1">
      <alignment horizontal="center" vertical="center" wrapText="1"/>
    </xf>
    <xf numFmtId="164" fontId="14" fillId="3" borderId="1" xfId="0" applyNumberFormat="1" applyFont="1" applyFill="1" applyBorder="1" applyAlignment="1">
      <alignment horizontal="right" vertical="center" wrapText="1"/>
    </xf>
    <xf numFmtId="164" fontId="17" fillId="3" borderId="19" xfId="0" applyNumberFormat="1" applyFont="1" applyFill="1" applyBorder="1" applyAlignment="1">
      <alignment horizontal="right" vertical="center"/>
    </xf>
    <xf numFmtId="0" fontId="0" fillId="0" borderId="0" xfId="0" applyAlignment="1">
      <alignment horizontal="center"/>
    </xf>
    <xf numFmtId="164" fontId="3" fillId="0" borderId="0" xfId="0" applyNumberFormat="1" applyFont="1" applyAlignment="1">
      <alignment horizontal="center" vertical="center"/>
    </xf>
    <xf numFmtId="165" fontId="3" fillId="0" borderId="0" xfId="1" applyNumberFormat="1" applyFont="1" applyAlignment="1">
      <alignment horizontal="center" vertical="center"/>
    </xf>
    <xf numFmtId="165" fontId="1" fillId="0" borderId="0" xfId="1" applyNumberFormat="1" applyFont="1" applyAlignment="1">
      <alignment horizontal="center" vertical="center"/>
    </xf>
    <xf numFmtId="164" fontId="1" fillId="0" borderId="0" xfId="0" applyNumberFormat="1" applyFont="1" applyAlignment="1">
      <alignment horizontal="center" vertical="center"/>
    </xf>
    <xf numFmtId="164" fontId="17" fillId="0" borderId="19" xfId="0" applyNumberFormat="1" applyFont="1" applyBorder="1" applyAlignment="1">
      <alignment horizontal="center" vertical="center"/>
    </xf>
    <xf numFmtId="164" fontId="17" fillId="0" borderId="1" xfId="0" applyNumberFormat="1" applyFont="1" applyBorder="1" applyAlignment="1">
      <alignment horizontal="center" vertical="center"/>
    </xf>
    <xf numFmtId="165" fontId="17" fillId="0" borderId="1" xfId="1" applyNumberFormat="1" applyFont="1" applyBorder="1" applyAlignment="1">
      <alignment horizontal="center" vertical="center"/>
    </xf>
    <xf numFmtId="164" fontId="17" fillId="3" borderId="18" xfId="0" applyNumberFormat="1" applyFont="1" applyFill="1" applyBorder="1" applyAlignment="1">
      <alignment horizontal="center" vertical="center"/>
    </xf>
    <xf numFmtId="165" fontId="17" fillId="3" borderId="1" xfId="1" applyNumberFormat="1" applyFont="1" applyFill="1" applyBorder="1" applyAlignment="1">
      <alignment horizontal="center" vertical="center"/>
    </xf>
    <xf numFmtId="164" fontId="17" fillId="3" borderId="1" xfId="0" applyNumberFormat="1" applyFont="1" applyFill="1" applyBorder="1" applyAlignment="1">
      <alignment horizontal="center" vertical="center"/>
    </xf>
    <xf numFmtId="165" fontId="17" fillId="3" borderId="19" xfId="1" applyNumberFormat="1" applyFont="1" applyFill="1" applyBorder="1" applyAlignment="1">
      <alignment horizontal="center" vertical="center"/>
    </xf>
    <xf numFmtId="164" fontId="17" fillId="3" borderId="19" xfId="0" applyNumberFormat="1" applyFont="1" applyFill="1" applyBorder="1" applyAlignment="1">
      <alignment horizontal="center" vertical="center"/>
    </xf>
    <xf numFmtId="164" fontId="17" fillId="0" borderId="18" xfId="0" applyNumberFormat="1" applyFont="1" applyBorder="1" applyAlignment="1">
      <alignment horizontal="center" vertical="center"/>
    </xf>
    <xf numFmtId="164" fontId="17" fillId="0" borderId="39" xfId="0" applyNumberFormat="1" applyFont="1" applyBorder="1" applyAlignment="1">
      <alignment horizontal="center" vertical="center"/>
    </xf>
    <xf numFmtId="164" fontId="24" fillId="0" borderId="31" xfId="0" applyNumberFormat="1" applyFont="1" applyBorder="1" applyAlignment="1">
      <alignment horizontal="center" vertical="center"/>
    </xf>
    <xf numFmtId="165" fontId="24" fillId="0" borderId="32" xfId="1" applyNumberFormat="1" applyFont="1" applyBorder="1" applyAlignment="1">
      <alignment horizontal="center" vertical="center"/>
    </xf>
    <xf numFmtId="165" fontId="24" fillId="0" borderId="33" xfId="1" applyNumberFormat="1" applyFont="1" applyBorder="1" applyAlignment="1">
      <alignment horizontal="center" vertical="center"/>
    </xf>
    <xf numFmtId="165" fontId="0" fillId="0" borderId="34" xfId="1" applyNumberFormat="1" applyFont="1" applyBorder="1" applyAlignment="1">
      <alignment horizontal="center"/>
    </xf>
    <xf numFmtId="0" fontId="0" fillId="0" borderId="25" xfId="0" applyBorder="1" applyAlignment="1">
      <alignment horizontal="center"/>
    </xf>
    <xf numFmtId="164" fontId="17" fillId="0" borderId="37" xfId="0" applyNumberFormat="1" applyFont="1" applyBorder="1" applyAlignment="1">
      <alignment horizontal="center" vertical="center"/>
    </xf>
    <xf numFmtId="164" fontId="8" fillId="0" borderId="31" xfId="0" applyNumberFormat="1" applyFont="1" applyBorder="1" applyAlignment="1">
      <alignment horizontal="center" vertical="center" wrapText="1"/>
    </xf>
    <xf numFmtId="165" fontId="8" fillId="0" borderId="32" xfId="1" applyNumberFormat="1" applyFont="1" applyBorder="1" applyAlignment="1">
      <alignment horizontal="center" vertical="center" wrapText="1"/>
    </xf>
    <xf numFmtId="165" fontId="8" fillId="0" borderId="33" xfId="1" applyNumberFormat="1" applyFont="1" applyBorder="1" applyAlignment="1">
      <alignment horizontal="center" vertical="center" wrapText="1"/>
    </xf>
    <xf numFmtId="164" fontId="10" fillId="0" borderId="1" xfId="0" applyNumberFormat="1" applyFont="1" applyBorder="1" applyAlignment="1">
      <alignment horizontal="right"/>
    </xf>
    <xf numFmtId="0" fontId="0" fillId="0" borderId="1" xfId="0" applyBorder="1"/>
    <xf numFmtId="0" fontId="0" fillId="0" borderId="13" xfId="0" applyBorder="1"/>
    <xf numFmtId="0" fontId="0" fillId="0" borderId="0" xfId="0" applyBorder="1"/>
    <xf numFmtId="0" fontId="0" fillId="0" borderId="14" xfId="0" applyBorder="1"/>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164" fontId="9" fillId="0" borderId="44" xfId="0" applyNumberFormat="1" applyFont="1" applyBorder="1"/>
    <xf numFmtId="164" fontId="10" fillId="0" borderId="39" xfId="0" applyNumberFormat="1" applyFont="1" applyBorder="1" applyAlignment="1">
      <alignment horizontal="right"/>
    </xf>
    <xf numFmtId="0" fontId="0" fillId="0" borderId="39" xfId="0" applyBorder="1"/>
    <xf numFmtId="164" fontId="9" fillId="0" borderId="45" xfId="0" applyNumberFormat="1" applyFont="1" applyBorder="1"/>
    <xf numFmtId="0" fontId="2" fillId="0" borderId="13" xfId="0" applyFont="1" applyBorder="1"/>
    <xf numFmtId="0" fontId="2" fillId="0" borderId="0" xfId="0" applyFont="1" applyBorder="1"/>
    <xf numFmtId="0" fontId="2" fillId="0" borderId="40" xfId="0" applyFont="1" applyBorder="1"/>
    <xf numFmtId="0" fontId="2" fillId="0" borderId="34" xfId="0" applyFont="1" applyBorder="1"/>
    <xf numFmtId="0" fontId="2" fillId="0" borderId="25" xfId="0" applyFont="1" applyBorder="1"/>
    <xf numFmtId="0" fontId="19" fillId="0" borderId="2" xfId="0" applyFont="1" applyBorder="1"/>
    <xf numFmtId="0" fontId="2" fillId="0" borderId="3" xfId="0" applyFont="1" applyBorder="1"/>
    <xf numFmtId="0" fontId="19" fillId="0" borderId="5" xfId="0" applyFont="1" applyBorder="1"/>
    <xf numFmtId="0" fontId="2" fillId="0" borderId="6" xfId="0" applyFont="1" applyBorder="1"/>
    <xf numFmtId="0" fontId="2" fillId="0" borderId="7" xfId="0" applyFont="1" applyBorder="1"/>
    <xf numFmtId="0" fontId="21" fillId="4" borderId="18" xfId="0" applyFont="1" applyFill="1" applyBorder="1" applyAlignment="1">
      <alignment horizontal="left" vertical="center" wrapText="1"/>
    </xf>
    <xf numFmtId="0" fontId="21" fillId="4" borderId="19" xfId="0" applyFont="1" applyFill="1" applyBorder="1" applyAlignment="1">
      <alignment horizontal="left" vertical="center" wrapText="1"/>
    </xf>
    <xf numFmtId="0" fontId="21" fillId="4" borderId="20" xfId="0" applyFont="1" applyFill="1" applyBorder="1" applyAlignment="1">
      <alignment horizontal="left" vertical="center" wrapText="1"/>
    </xf>
    <xf numFmtId="0" fontId="20"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3" fillId="0" borderId="31" xfId="0" applyFont="1" applyBorder="1" applyAlignment="1">
      <alignment horizontal="justify" vertical="center" wrapText="1"/>
    </xf>
    <xf numFmtId="0" fontId="3" fillId="0" borderId="32" xfId="0" applyFont="1" applyBorder="1" applyAlignment="1">
      <alignment horizontal="justify" vertical="center" wrapText="1"/>
    </xf>
    <xf numFmtId="0" fontId="23" fillId="0" borderId="0" xfId="0" applyFont="1" applyBorder="1" applyAlignment="1">
      <alignment horizontal="right" wrapText="1"/>
    </xf>
    <xf numFmtId="0" fontId="23" fillId="0" borderId="9" xfId="0" applyFont="1" applyBorder="1" applyAlignment="1">
      <alignment horizontal="right" wrapText="1"/>
    </xf>
    <xf numFmtId="164" fontId="16" fillId="0" borderId="6" xfId="0" applyNumberFormat="1" applyFont="1" applyBorder="1" applyAlignment="1">
      <alignment horizontal="center"/>
    </xf>
    <xf numFmtId="164" fontId="16" fillId="0" borderId="7" xfId="0" applyNumberFormat="1" applyFont="1" applyBorder="1" applyAlignment="1">
      <alignment horizontal="center"/>
    </xf>
    <xf numFmtId="0" fontId="5" fillId="0" borderId="0" xfId="0" applyFont="1" applyAlignment="1">
      <alignment horizontal="center" wrapText="1"/>
    </xf>
    <xf numFmtId="0" fontId="5" fillId="0" borderId="0" xfId="0" applyFont="1" applyAlignment="1">
      <alignment horizontal="justify" wrapText="1"/>
    </xf>
    <xf numFmtId="0" fontId="5" fillId="0" borderId="18" xfId="0" applyFont="1" applyBorder="1" applyAlignment="1">
      <alignment horizontal="center" vertical="top" wrapText="1"/>
    </xf>
    <xf numFmtId="0" fontId="6" fillId="0" borderId="19" xfId="0" applyFont="1" applyBorder="1" applyAlignment="1">
      <alignment horizontal="center" vertical="top" wrapText="1"/>
    </xf>
    <xf numFmtId="0" fontId="6" fillId="0" borderId="20" xfId="0" applyFont="1" applyBorder="1" applyAlignment="1">
      <alignment horizontal="center" vertical="top" wrapText="1"/>
    </xf>
    <xf numFmtId="0" fontId="8" fillId="0" borderId="31" xfId="0" applyFont="1" applyBorder="1" applyAlignment="1">
      <alignment horizontal="left" vertical="center" wrapText="1"/>
    </xf>
    <xf numFmtId="0" fontId="8" fillId="0" borderId="32" xfId="0" applyFont="1" applyBorder="1" applyAlignment="1">
      <alignment horizontal="left" vertical="center" wrapText="1"/>
    </xf>
    <xf numFmtId="0" fontId="27" fillId="0" borderId="0" xfId="0" applyFont="1" applyBorder="1" applyAlignment="1">
      <alignment horizontal="center" vertical="center" textRotation="180"/>
    </xf>
    <xf numFmtId="0" fontId="22" fillId="0" borderId="0" xfId="0" applyFont="1" applyBorder="1" applyAlignment="1">
      <alignment horizontal="center" vertical="center" textRotation="180"/>
    </xf>
    <xf numFmtId="0" fontId="13" fillId="2" borderId="0" xfId="0" applyFont="1" applyFill="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12" fillId="0" borderId="8" xfId="0" applyFont="1" applyBorder="1" applyAlignment="1">
      <alignment horizontal="center"/>
    </xf>
    <xf numFmtId="0" fontId="12" fillId="0" borderId="0" xfId="0" applyFont="1" applyAlignment="1">
      <alignment horizontal="center"/>
    </xf>
    <xf numFmtId="0" fontId="12" fillId="0" borderId="9" xfId="0" applyFont="1" applyBorder="1" applyAlignment="1">
      <alignment horizontal="center"/>
    </xf>
    <xf numFmtId="0" fontId="5"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0" borderId="5"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1" fillId="0" borderId="41" xfId="0" applyFont="1" applyBorder="1" applyAlignment="1">
      <alignment horizontal="left" vertical="top"/>
    </xf>
    <xf numFmtId="0" fontId="1" fillId="0" borderId="42" xfId="0" applyFont="1" applyBorder="1" applyAlignment="1">
      <alignment horizontal="left" vertical="top"/>
    </xf>
    <xf numFmtId="0" fontId="1" fillId="0" borderId="43" xfId="0" applyFont="1" applyBorder="1" applyAlignment="1">
      <alignment horizontal="left" vertical="top"/>
    </xf>
    <xf numFmtId="0" fontId="1" fillId="0" borderId="46" xfId="0" applyFont="1" applyBorder="1" applyAlignment="1">
      <alignment horizontal="left" vertical="top"/>
    </xf>
    <xf numFmtId="0" fontId="1" fillId="0" borderId="39" xfId="0" applyFont="1" applyBorder="1" applyAlignment="1">
      <alignment horizontal="left" vertical="top"/>
    </xf>
    <xf numFmtId="0" fontId="1" fillId="0" borderId="45" xfId="0" applyFont="1" applyBorder="1" applyAlignment="1">
      <alignment horizontal="left" vertical="top"/>
    </xf>
    <xf numFmtId="0" fontId="3" fillId="0" borderId="18" xfId="0" applyFont="1" applyBorder="1" applyAlignment="1">
      <alignment horizontal="justify" vertical="center" wrapText="1"/>
    </xf>
    <xf numFmtId="0" fontId="3" fillId="0" borderId="19" xfId="0" applyFont="1" applyBorder="1" applyAlignment="1">
      <alignment horizontal="justify" vertical="center" wrapText="1"/>
    </xf>
    <xf numFmtId="164" fontId="16" fillId="0" borderId="34" xfId="0" applyNumberFormat="1" applyFont="1" applyBorder="1" applyAlignment="1">
      <alignment horizontal="left"/>
    </xf>
    <xf numFmtId="164" fontId="16" fillId="0" borderId="25" xfId="0" applyNumberFormat="1" applyFont="1" applyBorder="1" applyAlignment="1">
      <alignment horizontal="left"/>
    </xf>
    <xf numFmtId="0" fontId="3" fillId="0" borderId="10" xfId="0" applyFont="1" applyBorder="1" applyAlignment="1">
      <alignment horizontal="justify" vertical="center" wrapText="1"/>
    </xf>
    <xf numFmtId="0" fontId="3" fillId="0" borderId="11" xfId="0" applyFont="1" applyBorder="1" applyAlignment="1">
      <alignment horizontal="justify" vertical="center" wrapText="1"/>
    </xf>
    <xf numFmtId="0" fontId="1" fillId="0" borderId="1" xfId="0" applyFont="1" applyBorder="1" applyAlignment="1">
      <alignment horizontal="left" vertical="top"/>
    </xf>
    <xf numFmtId="0" fontId="1" fillId="0" borderId="15" xfId="0" applyFont="1" applyBorder="1" applyAlignment="1">
      <alignment horizontal="left"/>
    </xf>
    <xf numFmtId="0" fontId="1" fillId="0" borderId="16" xfId="0" applyFont="1" applyBorder="1" applyAlignment="1">
      <alignment horizontal="left"/>
    </xf>
    <xf numFmtId="0" fontId="1" fillId="0" borderId="17" xfId="0" applyFont="1" applyBorder="1" applyAlignment="1">
      <alignment horizontal="left"/>
    </xf>
    <xf numFmtId="0" fontId="1" fillId="0" borderId="10" xfId="0" applyFont="1" applyBorder="1" applyAlignment="1">
      <alignment vertical="top"/>
    </xf>
    <xf numFmtId="0" fontId="1" fillId="0" borderId="11" xfId="0" applyFont="1" applyBorder="1" applyAlignment="1">
      <alignment vertical="top"/>
    </xf>
    <xf numFmtId="0" fontId="1" fillId="0" borderId="12" xfId="0" applyFont="1" applyBorder="1" applyAlignment="1">
      <alignment vertical="top"/>
    </xf>
    <xf numFmtId="0" fontId="18" fillId="0" borderId="10" xfId="0" applyFont="1" applyBorder="1" applyAlignment="1">
      <alignment vertical="top"/>
    </xf>
    <xf numFmtId="0" fontId="18" fillId="0" borderId="12" xfId="0" applyFont="1" applyBorder="1" applyAlignment="1">
      <alignment vertical="top"/>
    </xf>
    <xf numFmtId="0" fontId="8" fillId="0" borderId="1" xfId="0" applyFont="1" applyBorder="1" applyAlignment="1">
      <alignment horizontal="left" vertical="center" wrapText="1"/>
    </xf>
    <xf numFmtId="0" fontId="2" fillId="0" borderId="0" xfId="0" applyFont="1" applyAlignment="1">
      <alignment horizontal="left"/>
    </xf>
    <xf numFmtId="0" fontId="18" fillId="0" borderId="15" xfId="0" applyFont="1" applyBorder="1" applyAlignment="1">
      <alignment vertical="top"/>
    </xf>
    <xf numFmtId="0" fontId="18" fillId="0" borderId="17" xfId="0" applyFont="1" applyBorder="1" applyAlignment="1">
      <alignment vertical="top"/>
    </xf>
    <xf numFmtId="0" fontId="18" fillId="0" borderId="13" xfId="0" applyFont="1" applyBorder="1" applyAlignment="1">
      <alignment vertical="top"/>
    </xf>
    <xf numFmtId="0" fontId="18" fillId="0" borderId="14" xfId="0" applyFont="1" applyBorder="1" applyAlignment="1">
      <alignment vertical="top"/>
    </xf>
    <xf numFmtId="0" fontId="27" fillId="0" borderId="13" xfId="0" applyFont="1" applyBorder="1" applyAlignment="1">
      <alignment horizontal="center" vertical="center" textRotation="180"/>
    </xf>
    <xf numFmtId="0" fontId="22" fillId="0" borderId="13" xfId="0" applyFont="1" applyBorder="1" applyAlignment="1">
      <alignment horizontal="center" vertical="center" textRotation="180"/>
    </xf>
    <xf numFmtId="0" fontId="23" fillId="0" borderId="11" xfId="0" applyFont="1" applyBorder="1" applyAlignment="1">
      <alignment horizontal="right" wrapText="1"/>
    </xf>
    <xf numFmtId="0" fontId="23" fillId="0" borderId="35" xfId="0" applyFont="1" applyBorder="1" applyAlignment="1">
      <alignment horizontal="right" wrapText="1"/>
    </xf>
    <xf numFmtId="0" fontId="10" fillId="0" borderId="24" xfId="0" applyFont="1" applyBorder="1" applyAlignment="1">
      <alignment horizontal="justify" vertical="center" wrapText="1"/>
    </xf>
    <xf numFmtId="0" fontId="10" fillId="0" borderId="19" xfId="0" applyFont="1" applyBorder="1" applyAlignment="1">
      <alignment horizontal="justify" vertical="center" wrapText="1"/>
    </xf>
    <xf numFmtId="164" fontId="13" fillId="0" borderId="40" xfId="0" applyNumberFormat="1" applyFont="1" applyBorder="1" applyAlignment="1">
      <alignment horizontal="center" vertical="center"/>
    </xf>
    <xf numFmtId="164" fontId="13" fillId="0" borderId="34" xfId="0" applyNumberFormat="1" applyFont="1" applyBorder="1" applyAlignment="1">
      <alignment horizontal="center" vertical="center"/>
    </xf>
    <xf numFmtId="0" fontId="10" fillId="3" borderId="24" xfId="0" applyFont="1" applyFill="1" applyBorder="1" applyAlignment="1">
      <alignment horizontal="justify" vertical="center" wrapText="1"/>
    </xf>
    <xf numFmtId="0" fontId="10" fillId="3" borderId="19" xfId="0" applyFont="1" applyFill="1" applyBorder="1" applyAlignment="1">
      <alignment horizontal="justify" vertical="center" wrapText="1"/>
    </xf>
    <xf numFmtId="0" fontId="13" fillId="0" borderId="0" xfId="0" applyFont="1" applyAlignment="1">
      <alignment horizontal="center"/>
    </xf>
    <xf numFmtId="0" fontId="23"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8" xfId="0" applyFont="1" applyBorder="1" applyAlignment="1">
      <alignment horizontal="center" vertical="center" wrapText="1"/>
    </xf>
    <xf numFmtId="0" fontId="10" fillId="0" borderId="36" xfId="0" applyFont="1" applyBorder="1" applyAlignment="1">
      <alignment horizontal="justify" vertical="center" wrapText="1"/>
    </xf>
    <xf numFmtId="0" fontId="10" fillId="0" borderId="16" xfId="0" applyFont="1" applyBorder="1" applyAlignment="1">
      <alignment horizontal="justify" vertical="center" wrapText="1"/>
    </xf>
    <xf numFmtId="0" fontId="10" fillId="0" borderId="1" xfId="0" applyFont="1" applyBorder="1" applyAlignment="1">
      <alignment horizontal="justify" vertical="center" wrapText="1"/>
    </xf>
    <xf numFmtId="0" fontId="10" fillId="3" borderId="1" xfId="0" applyFont="1" applyFill="1" applyBorder="1" applyAlignment="1">
      <alignment horizontal="justify" vertical="center" wrapText="1"/>
    </xf>
    <xf numFmtId="0" fontId="28" fillId="0" borderId="2"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0" fontId="29" fillId="0" borderId="0" xfId="0" applyFont="1" applyAlignment="1">
      <alignment horizontal="center"/>
    </xf>
    <xf numFmtId="0" fontId="2" fillId="0" borderId="0" xfId="0" applyFont="1" applyBorder="1" applyAlignment="1">
      <alignment horizontal="left"/>
    </xf>
    <xf numFmtId="0" fontId="2" fillId="0" borderId="9" xfId="0" applyFont="1" applyBorder="1" applyAlignment="1">
      <alignment horizontal="left"/>
    </xf>
    <xf numFmtId="0" fontId="18" fillId="0" borderId="1" xfId="0" applyFont="1" applyBorder="1" applyAlignment="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273844</xdr:colOff>
      <xdr:row>0</xdr:row>
      <xdr:rowOff>130969</xdr:rowOff>
    </xdr:from>
    <xdr:to>
      <xdr:col>0</xdr:col>
      <xdr:colOff>1106468</xdr:colOff>
      <xdr:row>2</xdr:row>
      <xdr:rowOff>38101</xdr:rowOff>
    </xdr:to>
    <xdr:pic>
      <xdr:nvPicPr>
        <xdr:cNvPr id="2" name="Imag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844" y="130969"/>
          <a:ext cx="832624" cy="573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273844</xdr:colOff>
      <xdr:row>0</xdr:row>
      <xdr:rowOff>130969</xdr:rowOff>
    </xdr:from>
    <xdr:to>
      <xdr:col>0</xdr:col>
      <xdr:colOff>1106468</xdr:colOff>
      <xdr:row>2</xdr:row>
      <xdr:rowOff>38101</xdr:rowOff>
    </xdr:to>
    <xdr:pic>
      <xdr:nvPicPr>
        <xdr:cNvPr id="3" name="Image 2">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844" y="130969"/>
          <a:ext cx="832624" cy="50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357188</xdr:colOff>
      <xdr:row>0</xdr:row>
      <xdr:rowOff>92867</xdr:rowOff>
    </xdr:from>
    <xdr:to>
      <xdr:col>0</xdr:col>
      <xdr:colOff>1189812</xdr:colOff>
      <xdr:row>2</xdr:row>
      <xdr:rowOff>47624</xdr:rowOff>
    </xdr:to>
    <xdr:pic>
      <xdr:nvPicPr>
        <xdr:cNvPr id="3" name="Image 2">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188" y="92867"/>
          <a:ext cx="832624" cy="50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tabSelected="1" zoomScale="80" zoomScaleNormal="80" workbookViewId="0">
      <selection activeCell="G8" sqref="G8:H11"/>
    </sheetView>
  </sheetViews>
  <sheetFormatPr baseColWidth="10" defaultRowHeight="15" x14ac:dyDescent="0.25"/>
  <cols>
    <col min="1" max="1" width="45.42578125" customWidth="1"/>
    <col min="2" max="2" width="2.5703125" customWidth="1"/>
    <col min="3" max="3" width="31.7109375" customWidth="1"/>
    <col min="4" max="4" width="3.42578125" customWidth="1"/>
    <col min="5" max="5" width="30.5703125" customWidth="1"/>
    <col min="6" max="6" width="14.7109375" customWidth="1"/>
    <col min="7" max="7" width="12.5703125" customWidth="1"/>
    <col min="8" max="8" width="16.85546875" customWidth="1"/>
    <col min="9" max="9" width="3" customWidth="1"/>
  </cols>
  <sheetData>
    <row r="1" spans="1:9" s="4" customFormat="1" ht="21" x14ac:dyDescent="0.35">
      <c r="A1" s="169" t="s">
        <v>6</v>
      </c>
      <c r="B1" s="170"/>
      <c r="C1" s="170"/>
      <c r="D1" s="170"/>
      <c r="E1" s="170"/>
      <c r="F1" s="170"/>
      <c r="G1" s="170"/>
      <c r="H1" s="171"/>
    </row>
    <row r="2" spans="1:9" ht="31.5" x14ac:dyDescent="0.5">
      <c r="A2" s="112" t="s">
        <v>50</v>
      </c>
      <c r="B2" s="113"/>
      <c r="C2" s="113"/>
      <c r="D2" s="113"/>
      <c r="E2" s="113"/>
      <c r="F2" s="113"/>
      <c r="G2" s="113"/>
      <c r="H2" s="114"/>
    </row>
    <row r="3" spans="1:9" ht="14.25" customHeight="1" thickBot="1" x14ac:dyDescent="0.3">
      <c r="A3" s="115" t="s">
        <v>65</v>
      </c>
      <c r="B3" s="116"/>
      <c r="C3" s="116"/>
      <c r="D3" s="116"/>
      <c r="E3" s="116"/>
      <c r="F3" s="116"/>
      <c r="G3" s="116"/>
      <c r="H3" s="117"/>
    </row>
    <row r="4" spans="1:9" ht="15.75" thickBot="1" x14ac:dyDescent="0.3"/>
    <row r="5" spans="1:9" ht="28.5" customHeight="1" x14ac:dyDescent="0.25">
      <c r="A5" s="118" t="s">
        <v>30</v>
      </c>
      <c r="B5" s="119"/>
      <c r="C5" s="120"/>
      <c r="E5" s="13" t="s">
        <v>7</v>
      </c>
      <c r="F5" s="5"/>
      <c r="G5" s="5"/>
      <c r="H5" s="6"/>
    </row>
    <row r="6" spans="1:9" ht="30" customHeight="1" thickBot="1" x14ac:dyDescent="0.3">
      <c r="A6" s="121" t="s">
        <v>29</v>
      </c>
      <c r="B6" s="122"/>
      <c r="C6" s="123"/>
      <c r="E6" s="7"/>
      <c r="F6" s="8"/>
      <c r="G6" s="8"/>
      <c r="H6" s="9"/>
    </row>
    <row r="7" spans="1:9" x14ac:dyDescent="0.25">
      <c r="A7" s="124" t="s">
        <v>28</v>
      </c>
      <c r="B7" s="125"/>
      <c r="C7" s="126"/>
      <c r="E7" s="10"/>
      <c r="F7" s="11"/>
      <c r="G7" s="11"/>
      <c r="H7" s="12"/>
    </row>
    <row r="8" spans="1:9" ht="30" customHeight="1" thickBot="1" x14ac:dyDescent="0.3">
      <c r="A8" s="127"/>
      <c r="B8" s="128"/>
      <c r="C8" s="129"/>
      <c r="E8" s="8"/>
      <c r="F8" s="8"/>
      <c r="G8" s="175" t="s">
        <v>72</v>
      </c>
      <c r="H8" s="175"/>
    </row>
    <row r="9" spans="1:9" ht="30" customHeight="1" x14ac:dyDescent="0.25">
      <c r="A9" s="124" t="s">
        <v>31</v>
      </c>
      <c r="B9" s="125"/>
      <c r="C9" s="126"/>
      <c r="E9" s="8" t="s">
        <v>25</v>
      </c>
      <c r="F9" s="8"/>
      <c r="G9" s="175" t="s">
        <v>74</v>
      </c>
      <c r="H9" s="175"/>
    </row>
    <row r="10" spans="1:9" ht="30" customHeight="1" thickBot="1" x14ac:dyDescent="0.3">
      <c r="A10" s="127"/>
      <c r="B10" s="128"/>
      <c r="C10" s="129"/>
      <c r="E10" s="8"/>
      <c r="F10" s="8"/>
      <c r="G10" s="175" t="s">
        <v>73</v>
      </c>
      <c r="H10" s="175"/>
    </row>
    <row r="11" spans="1:9" ht="30" customHeight="1" thickBot="1" x14ac:dyDescent="0.3">
      <c r="A11" s="77" t="s">
        <v>64</v>
      </c>
      <c r="B11" s="78"/>
      <c r="C11" s="78"/>
      <c r="D11" s="15"/>
      <c r="E11" s="15"/>
      <c r="F11" s="15" t="s">
        <v>32</v>
      </c>
      <c r="G11" s="175" t="s">
        <v>75</v>
      </c>
      <c r="H11" s="175"/>
    </row>
    <row r="12" spans="1:9" ht="32.25" customHeight="1" thickBot="1" x14ac:dyDescent="0.3">
      <c r="A12" s="79" t="s">
        <v>62</v>
      </c>
      <c r="B12" s="80"/>
      <c r="C12" s="81"/>
      <c r="D12" s="15"/>
      <c r="E12" s="82" t="s">
        <v>37</v>
      </c>
      <c r="F12" s="83"/>
      <c r="G12" s="173"/>
      <c r="H12" s="174"/>
    </row>
    <row r="13" spans="1:9" ht="32.25" customHeight="1" thickBot="1" x14ac:dyDescent="0.3">
      <c r="A13" s="79" t="s">
        <v>63</v>
      </c>
      <c r="B13" s="80"/>
      <c r="C13" s="81"/>
      <c r="D13" s="15"/>
      <c r="E13" s="84" t="s">
        <v>38</v>
      </c>
      <c r="F13" s="85"/>
      <c r="G13" s="85"/>
      <c r="H13" s="86"/>
    </row>
    <row r="14" spans="1:9" ht="22.5" customHeight="1" thickBot="1" x14ac:dyDescent="0.4">
      <c r="A14" s="68"/>
      <c r="B14" s="69"/>
      <c r="C14" s="70"/>
      <c r="E14" s="108" t="s">
        <v>51</v>
      </c>
      <c r="F14" s="108"/>
      <c r="G14" s="108"/>
      <c r="H14" s="108"/>
    </row>
    <row r="15" spans="1:9" ht="31.5" customHeight="1" thickBot="1" x14ac:dyDescent="0.3">
      <c r="A15" s="104" t="s">
        <v>40</v>
      </c>
      <c r="B15" s="105"/>
      <c r="C15" s="105"/>
      <c r="D15" s="105"/>
      <c r="E15" s="105"/>
      <c r="F15" s="71" t="s">
        <v>0</v>
      </c>
      <c r="G15" s="71" t="s">
        <v>1</v>
      </c>
      <c r="H15" s="72" t="s">
        <v>2</v>
      </c>
      <c r="I15" s="106" t="s">
        <v>39</v>
      </c>
    </row>
    <row r="16" spans="1:9" ht="42.75" customHeight="1" thickBot="1" x14ac:dyDescent="0.4">
      <c r="A16" s="93" t="s">
        <v>66</v>
      </c>
      <c r="B16" s="94"/>
      <c r="C16" s="94"/>
      <c r="D16" s="94"/>
      <c r="E16" s="94"/>
      <c r="F16" s="66">
        <v>137.38</v>
      </c>
      <c r="G16" s="67"/>
      <c r="H16" s="73"/>
      <c r="I16" s="107"/>
    </row>
    <row r="17" spans="1:9" ht="42.75" customHeight="1" thickBot="1" x14ac:dyDescent="0.4">
      <c r="A17" s="93" t="s">
        <v>67</v>
      </c>
      <c r="B17" s="94"/>
      <c r="C17" s="94"/>
      <c r="D17" s="94"/>
      <c r="E17" s="94"/>
      <c r="F17" s="66">
        <v>189.73</v>
      </c>
      <c r="G17" s="67"/>
      <c r="H17" s="73"/>
      <c r="I17" s="107"/>
    </row>
    <row r="18" spans="1:9" ht="42.75" customHeight="1" thickBot="1" x14ac:dyDescent="0.4">
      <c r="A18" s="93" t="s">
        <v>55</v>
      </c>
      <c r="B18" s="94"/>
      <c r="C18" s="94"/>
      <c r="D18" s="94"/>
      <c r="E18" s="94"/>
      <c r="F18" s="66">
        <v>72.44</v>
      </c>
      <c r="G18" s="67"/>
      <c r="H18" s="73"/>
      <c r="I18" s="107"/>
    </row>
    <row r="19" spans="1:9" ht="42.75" customHeight="1" thickBot="1" x14ac:dyDescent="0.4">
      <c r="A19" s="93" t="s">
        <v>56</v>
      </c>
      <c r="B19" s="94"/>
      <c r="C19" s="94"/>
      <c r="D19" s="94"/>
      <c r="E19" s="94"/>
      <c r="F19" s="66">
        <v>175.02</v>
      </c>
      <c r="G19" s="67"/>
      <c r="H19" s="73"/>
      <c r="I19" s="107"/>
    </row>
    <row r="20" spans="1:9" ht="42.75" customHeight="1" thickBot="1" x14ac:dyDescent="0.4">
      <c r="A20" s="93" t="s">
        <v>57</v>
      </c>
      <c r="B20" s="94"/>
      <c r="C20" s="94"/>
      <c r="D20" s="94"/>
      <c r="E20" s="94"/>
      <c r="F20" s="66">
        <v>486.88</v>
      </c>
      <c r="G20" s="67"/>
      <c r="H20" s="73"/>
      <c r="I20" s="107"/>
    </row>
    <row r="21" spans="1:9" ht="42.75" customHeight="1" thickBot="1" x14ac:dyDescent="0.4">
      <c r="A21" s="93" t="s">
        <v>58</v>
      </c>
      <c r="B21" s="94"/>
      <c r="C21" s="94"/>
      <c r="D21" s="94"/>
      <c r="E21" s="94"/>
      <c r="F21" s="66">
        <v>262.5</v>
      </c>
      <c r="G21" s="67"/>
      <c r="H21" s="73"/>
      <c r="I21" s="107"/>
    </row>
    <row r="22" spans="1:9" ht="42.75" customHeight="1" thickBot="1" x14ac:dyDescent="0.4">
      <c r="A22" s="93" t="s">
        <v>59</v>
      </c>
      <c r="B22" s="94"/>
      <c r="C22" s="94"/>
      <c r="D22" s="94"/>
      <c r="E22" s="94"/>
      <c r="F22" s="66">
        <v>730.34</v>
      </c>
      <c r="G22" s="67"/>
      <c r="H22" s="73"/>
      <c r="I22" s="107"/>
    </row>
    <row r="23" spans="1:9" ht="42.75" customHeight="1" thickBot="1" x14ac:dyDescent="0.4">
      <c r="A23" s="93" t="s">
        <v>60</v>
      </c>
      <c r="B23" s="94"/>
      <c r="C23" s="94"/>
      <c r="D23" s="94"/>
      <c r="E23" s="94"/>
      <c r="F23" s="66">
        <v>97.34</v>
      </c>
      <c r="G23" s="67"/>
      <c r="H23" s="73"/>
      <c r="I23" s="107"/>
    </row>
    <row r="24" spans="1:9" ht="42.75" customHeight="1" thickBot="1" x14ac:dyDescent="0.4">
      <c r="A24" s="93" t="s">
        <v>61</v>
      </c>
      <c r="B24" s="94"/>
      <c r="C24" s="94"/>
      <c r="D24" s="94"/>
      <c r="E24" s="94"/>
      <c r="F24" s="74">
        <v>137.38</v>
      </c>
      <c r="G24" s="75"/>
      <c r="H24" s="76"/>
      <c r="I24" s="107"/>
    </row>
    <row r="25" spans="1:9" ht="42.75" customHeight="1" thickBot="1" x14ac:dyDescent="0.55000000000000004">
      <c r="A25" s="95" t="s">
        <v>3</v>
      </c>
      <c r="B25" s="95"/>
      <c r="C25" s="95"/>
      <c r="D25" s="95"/>
      <c r="E25" s="95"/>
      <c r="F25" s="96"/>
      <c r="G25" s="97" t="s">
        <v>76</v>
      </c>
      <c r="H25" s="98"/>
    </row>
    <row r="26" spans="1:9" ht="34.5" customHeight="1" x14ac:dyDescent="0.25">
      <c r="A26" s="99" t="s">
        <v>5</v>
      </c>
      <c r="B26" s="99"/>
      <c r="C26" s="99"/>
      <c r="D26" s="99"/>
      <c r="E26" s="99"/>
      <c r="F26" s="99"/>
      <c r="G26" s="99"/>
      <c r="H26" s="99"/>
    </row>
    <row r="27" spans="1:9" ht="48" customHeight="1" x14ac:dyDescent="0.25">
      <c r="A27" s="100" t="s">
        <v>68</v>
      </c>
      <c r="B27" s="100"/>
      <c r="C27" s="100"/>
      <c r="D27" s="100"/>
      <c r="E27" s="100"/>
      <c r="F27" s="100"/>
      <c r="G27" s="100"/>
      <c r="H27" s="100"/>
    </row>
    <row r="28" spans="1:9" ht="6.75" customHeight="1" x14ac:dyDescent="0.25"/>
    <row r="29" spans="1:9" ht="228.75" customHeight="1" x14ac:dyDescent="0.25">
      <c r="A29" s="3" t="s">
        <v>14</v>
      </c>
      <c r="B29" t="s">
        <v>4</v>
      </c>
      <c r="C29" s="101" t="s">
        <v>8</v>
      </c>
      <c r="D29" s="102"/>
      <c r="E29" s="102"/>
      <c r="F29" s="102"/>
      <c r="G29" s="102"/>
      <c r="H29" s="103"/>
    </row>
    <row r="30" spans="1:9" ht="26.25" customHeight="1" x14ac:dyDescent="0.25">
      <c r="A30" s="34"/>
      <c r="C30" s="87" t="s">
        <v>54</v>
      </c>
      <c r="D30" s="88"/>
      <c r="E30" s="88"/>
      <c r="F30" s="88"/>
      <c r="G30" s="88"/>
      <c r="H30" s="89"/>
    </row>
    <row r="31" spans="1:9" ht="9.75" customHeight="1" x14ac:dyDescent="0.25"/>
    <row r="32" spans="1:9" ht="18.75" x14ac:dyDescent="0.3">
      <c r="A32" s="172" t="s">
        <v>41</v>
      </c>
      <c r="B32" s="172"/>
      <c r="C32" s="172"/>
      <c r="D32" s="172"/>
      <c r="E32" s="172"/>
      <c r="F32" s="172"/>
      <c r="G32" s="172"/>
      <c r="H32" s="172"/>
    </row>
    <row r="33" spans="1:8" ht="9" customHeight="1" x14ac:dyDescent="0.25"/>
    <row r="34" spans="1:8" x14ac:dyDescent="0.25">
      <c r="A34" s="91" t="s">
        <v>52</v>
      </c>
      <c r="B34" s="91"/>
      <c r="C34" s="91"/>
      <c r="D34" s="91"/>
      <c r="E34" s="91"/>
      <c r="F34" s="91"/>
      <c r="G34" s="91"/>
      <c r="H34" s="91"/>
    </row>
    <row r="35" spans="1:8" x14ac:dyDescent="0.25">
      <c r="A35" s="92" t="s">
        <v>53</v>
      </c>
      <c r="B35" s="92"/>
      <c r="C35" s="92"/>
      <c r="D35" s="92"/>
      <c r="E35" s="92"/>
      <c r="F35" s="92"/>
      <c r="G35" s="92"/>
      <c r="H35" s="92"/>
    </row>
  </sheetData>
  <mergeCells count="33">
    <mergeCell ref="E14:H14"/>
    <mergeCell ref="A1:H1"/>
    <mergeCell ref="A2:H2"/>
    <mergeCell ref="A3:H3"/>
    <mergeCell ref="A5:C5"/>
    <mergeCell ref="A6:C6"/>
    <mergeCell ref="A7:C8"/>
    <mergeCell ref="G8:H8"/>
    <mergeCell ref="A9:C10"/>
    <mergeCell ref="G9:H9"/>
    <mergeCell ref="G10:H10"/>
    <mergeCell ref="G11:H11"/>
    <mergeCell ref="G12:H12"/>
    <mergeCell ref="A15:E15"/>
    <mergeCell ref="I15:I24"/>
    <mergeCell ref="A16:E16"/>
    <mergeCell ref="A17:E17"/>
    <mergeCell ref="A18:E18"/>
    <mergeCell ref="A19:E19"/>
    <mergeCell ref="A20:E20"/>
    <mergeCell ref="A21:E21"/>
    <mergeCell ref="A22:E22"/>
    <mergeCell ref="A23:E23"/>
    <mergeCell ref="C30:H30"/>
    <mergeCell ref="A32:H32"/>
    <mergeCell ref="A34:H34"/>
    <mergeCell ref="A35:H35"/>
    <mergeCell ref="A24:E24"/>
    <mergeCell ref="A25:F25"/>
    <mergeCell ref="G25:H25"/>
    <mergeCell ref="A26:H26"/>
    <mergeCell ref="A27:H27"/>
    <mergeCell ref="C29:H29"/>
  </mergeCells>
  <printOptions horizontalCentered="1" verticalCentered="1"/>
  <pageMargins left="0.25" right="0.25"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zoomScale="80" zoomScaleNormal="80" workbookViewId="0">
      <selection activeCell="A24" sqref="A24:E24"/>
    </sheetView>
  </sheetViews>
  <sheetFormatPr baseColWidth="10" defaultRowHeight="15" x14ac:dyDescent="0.25"/>
  <cols>
    <col min="1" max="1" width="45.42578125" customWidth="1"/>
    <col min="2" max="2" width="2.5703125" customWidth="1"/>
    <col min="3" max="3" width="31.7109375" customWidth="1"/>
    <col min="4" max="4" width="3.42578125" customWidth="1"/>
    <col min="5" max="5" width="30.5703125" customWidth="1"/>
    <col min="6" max="6" width="14.7109375" customWidth="1"/>
    <col min="7" max="7" width="12.5703125" customWidth="1"/>
    <col min="8" max="8" width="16.85546875" customWidth="1"/>
    <col min="9" max="9" width="3" customWidth="1"/>
  </cols>
  <sheetData>
    <row r="1" spans="1:9" s="4" customFormat="1" ht="21" x14ac:dyDescent="0.35">
      <c r="A1" s="109" t="s">
        <v>6</v>
      </c>
      <c r="B1" s="110"/>
      <c r="C1" s="110"/>
      <c r="D1" s="110"/>
      <c r="E1" s="110"/>
      <c r="F1" s="110"/>
      <c r="G1" s="110"/>
      <c r="H1" s="111"/>
    </row>
    <row r="2" spans="1:9" ht="31.5" x14ac:dyDescent="0.5">
      <c r="A2" s="112" t="s">
        <v>50</v>
      </c>
      <c r="B2" s="113"/>
      <c r="C2" s="113"/>
      <c r="D2" s="113"/>
      <c r="E2" s="113"/>
      <c r="F2" s="113"/>
      <c r="G2" s="113"/>
      <c r="H2" s="114"/>
    </row>
    <row r="3" spans="1:9" ht="14.25" customHeight="1" thickBot="1" x14ac:dyDescent="0.3">
      <c r="A3" s="115" t="s">
        <v>65</v>
      </c>
      <c r="B3" s="116"/>
      <c r="C3" s="116"/>
      <c r="D3" s="116"/>
      <c r="E3" s="116"/>
      <c r="F3" s="116"/>
      <c r="G3" s="116"/>
      <c r="H3" s="117"/>
    </row>
    <row r="5" spans="1:9" ht="28.5" customHeight="1" x14ac:dyDescent="0.25">
      <c r="A5" s="140" t="s">
        <v>30</v>
      </c>
      <c r="B5" s="141"/>
      <c r="C5" s="142"/>
      <c r="E5" s="13" t="s">
        <v>7</v>
      </c>
      <c r="F5" s="5"/>
      <c r="G5" s="5"/>
      <c r="H5" s="6"/>
    </row>
    <row r="6" spans="1:9" ht="30" customHeight="1" x14ac:dyDescent="0.25">
      <c r="A6" s="137" t="s">
        <v>29</v>
      </c>
      <c r="B6" s="138"/>
      <c r="C6" s="139"/>
      <c r="E6" s="7"/>
      <c r="F6" s="8"/>
      <c r="G6" s="8"/>
      <c r="H6" s="9"/>
    </row>
    <row r="7" spans="1:9" x14ac:dyDescent="0.25">
      <c r="A7" s="136" t="s">
        <v>28</v>
      </c>
      <c r="B7" s="136"/>
      <c r="C7" s="136"/>
      <c r="E7" s="10"/>
      <c r="F7" s="11"/>
      <c r="G7" s="11"/>
      <c r="H7" s="12"/>
    </row>
    <row r="8" spans="1:9" ht="30" customHeight="1" x14ac:dyDescent="0.25">
      <c r="A8" s="136"/>
      <c r="B8" s="136"/>
      <c r="C8" s="136"/>
      <c r="E8" s="8"/>
      <c r="F8" s="8"/>
      <c r="G8" s="143" t="s">
        <v>33</v>
      </c>
      <c r="H8" s="144"/>
    </row>
    <row r="9" spans="1:9" ht="30" customHeight="1" x14ac:dyDescent="0.25">
      <c r="A9" s="136" t="s">
        <v>31</v>
      </c>
      <c r="B9" s="136"/>
      <c r="C9" s="136"/>
      <c r="E9" s="8" t="s">
        <v>25</v>
      </c>
      <c r="F9" s="8"/>
      <c r="G9" s="149" t="s">
        <v>34</v>
      </c>
      <c r="H9" s="150"/>
    </row>
    <row r="10" spans="1:9" ht="30" customHeight="1" x14ac:dyDescent="0.25">
      <c r="A10" s="136"/>
      <c r="B10" s="136"/>
      <c r="C10" s="136"/>
      <c r="E10" s="8"/>
      <c r="F10" s="8"/>
      <c r="G10" s="149" t="s">
        <v>35</v>
      </c>
      <c r="H10" s="150"/>
    </row>
    <row r="11" spans="1:9" ht="30" customHeight="1" x14ac:dyDescent="0.25">
      <c r="A11" s="31" t="s">
        <v>64</v>
      </c>
      <c r="B11" s="22"/>
      <c r="C11" s="21"/>
      <c r="D11" s="15"/>
      <c r="E11" s="15"/>
      <c r="F11" s="15" t="s">
        <v>32</v>
      </c>
      <c r="G11" s="147" t="s">
        <v>36</v>
      </c>
      <c r="H11" s="148"/>
    </row>
    <row r="12" spans="1:9" ht="32.25" customHeight="1" x14ac:dyDescent="0.25">
      <c r="A12" s="24" t="s">
        <v>62</v>
      </c>
      <c r="B12" s="14"/>
      <c r="C12" s="25"/>
      <c r="D12" s="15"/>
      <c r="E12" s="33" t="s">
        <v>37</v>
      </c>
      <c r="F12" s="15"/>
      <c r="G12" s="146"/>
      <c r="H12" s="146"/>
    </row>
    <row r="13" spans="1:9" ht="32.25" customHeight="1" x14ac:dyDescent="0.25">
      <c r="A13" s="26" t="s">
        <v>63</v>
      </c>
      <c r="B13" s="16"/>
      <c r="C13" s="27"/>
      <c r="D13" s="15"/>
      <c r="E13" s="33" t="s">
        <v>38</v>
      </c>
      <c r="F13" s="15"/>
      <c r="G13" s="15"/>
      <c r="H13" s="15"/>
    </row>
    <row r="14" spans="1:9" ht="22.5" customHeight="1" x14ac:dyDescent="0.35">
      <c r="A14" s="28"/>
      <c r="B14" s="29"/>
      <c r="C14" s="30"/>
      <c r="E14" s="108" t="s">
        <v>51</v>
      </c>
      <c r="F14" s="108"/>
      <c r="G14" s="108"/>
      <c r="H14" s="108"/>
    </row>
    <row r="15" spans="1:9" ht="31.5" customHeight="1" x14ac:dyDescent="0.25">
      <c r="A15" s="145" t="s">
        <v>40</v>
      </c>
      <c r="B15" s="145"/>
      <c r="C15" s="145"/>
      <c r="D15" s="145"/>
      <c r="E15" s="145"/>
      <c r="F15" s="1" t="s">
        <v>0</v>
      </c>
      <c r="G15" s="1" t="s">
        <v>1</v>
      </c>
      <c r="H15" s="1" t="s">
        <v>2</v>
      </c>
      <c r="I15" s="151" t="s">
        <v>39</v>
      </c>
    </row>
    <row r="16" spans="1:9" ht="42.75" customHeight="1" x14ac:dyDescent="0.35">
      <c r="A16" s="130" t="s">
        <v>66</v>
      </c>
      <c r="B16" s="131"/>
      <c r="C16" s="131"/>
      <c r="D16" s="131"/>
      <c r="E16" s="131"/>
      <c r="F16" s="18">
        <v>137.38</v>
      </c>
      <c r="G16" s="2"/>
      <c r="H16" s="23" t="s">
        <v>27</v>
      </c>
      <c r="I16" s="152"/>
    </row>
    <row r="17" spans="1:9" ht="42.75" customHeight="1" x14ac:dyDescent="0.35">
      <c r="A17" s="130" t="s">
        <v>67</v>
      </c>
      <c r="B17" s="131"/>
      <c r="C17" s="131"/>
      <c r="D17" s="131"/>
      <c r="E17" s="131"/>
      <c r="F17" s="18">
        <v>189.73</v>
      </c>
      <c r="G17" s="2"/>
      <c r="H17" s="23" t="s">
        <v>27</v>
      </c>
      <c r="I17" s="152"/>
    </row>
    <row r="18" spans="1:9" ht="42.75" customHeight="1" x14ac:dyDescent="0.35">
      <c r="A18" s="134" t="s">
        <v>55</v>
      </c>
      <c r="B18" s="135"/>
      <c r="C18" s="135"/>
      <c r="D18" s="135"/>
      <c r="E18" s="135"/>
      <c r="F18" s="35">
        <v>72.44</v>
      </c>
      <c r="G18" s="20"/>
      <c r="H18" s="23" t="s">
        <v>27</v>
      </c>
      <c r="I18" s="152"/>
    </row>
    <row r="19" spans="1:9" ht="42.75" customHeight="1" x14ac:dyDescent="0.35">
      <c r="A19" s="130" t="s">
        <v>56</v>
      </c>
      <c r="B19" s="131"/>
      <c r="C19" s="131"/>
      <c r="D19" s="131"/>
      <c r="E19" s="131"/>
      <c r="F19" s="18">
        <v>175.02</v>
      </c>
      <c r="G19" s="2"/>
      <c r="H19" s="23" t="s">
        <v>27</v>
      </c>
      <c r="I19" s="152"/>
    </row>
    <row r="20" spans="1:9" ht="42.75" customHeight="1" x14ac:dyDescent="0.35">
      <c r="A20" s="130" t="s">
        <v>57</v>
      </c>
      <c r="B20" s="131"/>
      <c r="C20" s="131"/>
      <c r="D20" s="131"/>
      <c r="E20" s="131"/>
      <c r="F20" s="18">
        <v>486.88</v>
      </c>
      <c r="G20" s="2"/>
      <c r="H20" s="23" t="s">
        <v>27</v>
      </c>
      <c r="I20" s="152"/>
    </row>
    <row r="21" spans="1:9" ht="42.75" customHeight="1" x14ac:dyDescent="0.35">
      <c r="A21" s="130" t="s">
        <v>58</v>
      </c>
      <c r="B21" s="131"/>
      <c r="C21" s="131"/>
      <c r="D21" s="131"/>
      <c r="E21" s="131"/>
      <c r="F21" s="18">
        <v>262.5</v>
      </c>
      <c r="G21" s="2"/>
      <c r="H21" s="23" t="s">
        <v>27</v>
      </c>
      <c r="I21" s="152"/>
    </row>
    <row r="22" spans="1:9" ht="42.75" customHeight="1" x14ac:dyDescent="0.35">
      <c r="A22" s="130" t="s">
        <v>59</v>
      </c>
      <c r="B22" s="131"/>
      <c r="C22" s="131"/>
      <c r="D22" s="131"/>
      <c r="E22" s="131"/>
      <c r="F22" s="18">
        <v>730.34</v>
      </c>
      <c r="G22" s="2"/>
      <c r="H22" s="23" t="s">
        <v>27</v>
      </c>
      <c r="I22" s="152"/>
    </row>
    <row r="23" spans="1:9" ht="42.75" customHeight="1" x14ac:dyDescent="0.35">
      <c r="A23" s="130" t="s">
        <v>60</v>
      </c>
      <c r="B23" s="131"/>
      <c r="C23" s="131"/>
      <c r="D23" s="131"/>
      <c r="E23" s="131"/>
      <c r="F23" s="18">
        <v>97.34</v>
      </c>
      <c r="G23" s="2"/>
      <c r="H23" s="23" t="s">
        <v>27</v>
      </c>
      <c r="I23" s="152"/>
    </row>
    <row r="24" spans="1:9" ht="42.75" customHeight="1" thickBot="1" x14ac:dyDescent="0.4">
      <c r="A24" s="130" t="s">
        <v>61</v>
      </c>
      <c r="B24" s="131"/>
      <c r="C24" s="131"/>
      <c r="D24" s="131"/>
      <c r="E24" s="131"/>
      <c r="F24" s="18">
        <v>137.38</v>
      </c>
      <c r="G24" s="2"/>
      <c r="H24" s="23" t="s">
        <v>27</v>
      </c>
      <c r="I24" s="152"/>
    </row>
    <row r="25" spans="1:9" ht="42.75" customHeight="1" thickBot="1" x14ac:dyDescent="0.55000000000000004">
      <c r="A25" s="153" t="s">
        <v>3</v>
      </c>
      <c r="B25" s="153"/>
      <c r="C25" s="153"/>
      <c r="D25" s="153"/>
      <c r="E25" s="153"/>
      <c r="F25" s="154"/>
      <c r="G25" s="132" t="s">
        <v>26</v>
      </c>
      <c r="H25" s="133"/>
    </row>
    <row r="26" spans="1:9" ht="34.5" customHeight="1" x14ac:dyDescent="0.25">
      <c r="A26" s="99" t="s">
        <v>5</v>
      </c>
      <c r="B26" s="99"/>
      <c r="C26" s="99"/>
      <c r="D26" s="99"/>
      <c r="E26" s="99"/>
      <c r="F26" s="99"/>
      <c r="G26" s="99"/>
      <c r="H26" s="99"/>
    </row>
    <row r="27" spans="1:9" ht="48" customHeight="1" x14ac:dyDescent="0.25">
      <c r="A27" s="100" t="s">
        <v>68</v>
      </c>
      <c r="B27" s="100"/>
      <c r="C27" s="100"/>
      <c r="D27" s="100"/>
      <c r="E27" s="100"/>
      <c r="F27" s="100"/>
      <c r="G27" s="100"/>
      <c r="H27" s="100"/>
    </row>
    <row r="28" spans="1:9" ht="6.75" customHeight="1" x14ac:dyDescent="0.25"/>
    <row r="29" spans="1:9" ht="228.75" customHeight="1" x14ac:dyDescent="0.25">
      <c r="A29" s="3" t="s">
        <v>14</v>
      </c>
      <c r="B29" t="s">
        <v>4</v>
      </c>
      <c r="C29" s="101" t="s">
        <v>8</v>
      </c>
      <c r="D29" s="102"/>
      <c r="E29" s="102"/>
      <c r="F29" s="102"/>
      <c r="G29" s="102"/>
      <c r="H29" s="103"/>
    </row>
    <row r="30" spans="1:9" ht="26.25" customHeight="1" x14ac:dyDescent="0.25">
      <c r="A30" s="34"/>
      <c r="C30" s="87" t="s">
        <v>54</v>
      </c>
      <c r="D30" s="88"/>
      <c r="E30" s="88"/>
      <c r="F30" s="88"/>
      <c r="G30" s="88"/>
      <c r="H30" s="89"/>
    </row>
    <row r="31" spans="1:9" ht="9.75" customHeight="1" x14ac:dyDescent="0.25"/>
    <row r="32" spans="1:9" ht="18.75" x14ac:dyDescent="0.3">
      <c r="A32" s="90" t="s">
        <v>41</v>
      </c>
      <c r="B32" s="90"/>
      <c r="C32" s="90"/>
      <c r="D32" s="90"/>
      <c r="E32" s="90"/>
      <c r="F32" s="90"/>
      <c r="G32" s="90"/>
      <c r="H32" s="90"/>
    </row>
    <row r="33" spans="1:8" ht="9" customHeight="1" x14ac:dyDescent="0.25"/>
    <row r="34" spans="1:8" x14ac:dyDescent="0.25">
      <c r="A34" s="91" t="s">
        <v>52</v>
      </c>
      <c r="B34" s="91"/>
      <c r="C34" s="91"/>
      <c r="D34" s="91"/>
      <c r="E34" s="91"/>
      <c r="F34" s="91"/>
      <c r="G34" s="91"/>
      <c r="H34" s="91"/>
    </row>
    <row r="35" spans="1:8" x14ac:dyDescent="0.25">
      <c r="A35" s="92" t="s">
        <v>53</v>
      </c>
      <c r="B35" s="92"/>
      <c r="C35" s="92"/>
      <c r="D35" s="92"/>
      <c r="E35" s="92"/>
      <c r="F35" s="92"/>
      <c r="G35" s="92"/>
      <c r="H35" s="92"/>
    </row>
  </sheetData>
  <mergeCells count="33">
    <mergeCell ref="I15:I24"/>
    <mergeCell ref="A26:H26"/>
    <mergeCell ref="C30:H30"/>
    <mergeCell ref="A25:F25"/>
    <mergeCell ref="A20:E20"/>
    <mergeCell ref="A21:E21"/>
    <mergeCell ref="A22:E22"/>
    <mergeCell ref="A24:E24"/>
    <mergeCell ref="C29:H29"/>
    <mergeCell ref="E14:H14"/>
    <mergeCell ref="A15:E15"/>
    <mergeCell ref="G12:H12"/>
    <mergeCell ref="G11:H11"/>
    <mergeCell ref="A9:C10"/>
    <mergeCell ref="G9:H9"/>
    <mergeCell ref="G10:H10"/>
    <mergeCell ref="A1:H1"/>
    <mergeCell ref="A2:H2"/>
    <mergeCell ref="A3:H3"/>
    <mergeCell ref="A7:C8"/>
    <mergeCell ref="A6:C6"/>
    <mergeCell ref="A5:C5"/>
    <mergeCell ref="G8:H8"/>
    <mergeCell ref="A35:H35"/>
    <mergeCell ref="A32:H32"/>
    <mergeCell ref="A34:H34"/>
    <mergeCell ref="A16:E16"/>
    <mergeCell ref="A17:E17"/>
    <mergeCell ref="A19:E19"/>
    <mergeCell ref="A27:H27"/>
    <mergeCell ref="G25:H25"/>
    <mergeCell ref="A18:E18"/>
    <mergeCell ref="A23:E23"/>
  </mergeCells>
  <printOptions horizontalCentered="1" verticalCentered="1"/>
  <pageMargins left="0.25" right="0.25" top="0.75" bottom="0.75" header="0.3" footer="0.3"/>
  <pageSetup paperSize="9" scale="6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zoomScale="80" zoomScaleNormal="80" workbookViewId="0">
      <selection activeCell="J12" sqref="J12"/>
    </sheetView>
  </sheetViews>
  <sheetFormatPr baseColWidth="10" defaultRowHeight="15" x14ac:dyDescent="0.25"/>
  <cols>
    <col min="1" max="1" width="45.42578125" customWidth="1"/>
    <col min="2" max="2" width="2.5703125" customWidth="1"/>
    <col min="3" max="3" width="31.7109375" customWidth="1"/>
    <col min="4" max="4" width="3.42578125" customWidth="1"/>
    <col min="5" max="5" width="2.85546875" customWidth="1"/>
    <col min="6" max="7" width="13.5703125" customWidth="1"/>
    <col min="8" max="8" width="18.5703125" customWidth="1"/>
    <col min="9" max="9" width="23.7109375" style="46" customWidth="1"/>
    <col min="10" max="15" width="23.7109375" style="45" customWidth="1"/>
    <col min="16" max="16" width="26.42578125" style="45" customWidth="1"/>
  </cols>
  <sheetData>
    <row r="1" spans="1:16" s="4" customFormat="1" ht="17.25" customHeight="1" x14ac:dyDescent="0.35">
      <c r="A1" s="109" t="s">
        <v>4</v>
      </c>
      <c r="B1" s="110"/>
      <c r="C1" s="110"/>
      <c r="D1" s="110"/>
      <c r="E1" s="110"/>
      <c r="F1" s="110"/>
      <c r="G1" s="110"/>
      <c r="H1" s="111"/>
      <c r="I1" s="43"/>
      <c r="J1" s="44"/>
      <c r="K1" s="44"/>
      <c r="L1" s="44"/>
      <c r="M1" s="44"/>
      <c r="N1" s="44"/>
      <c r="O1" s="44"/>
      <c r="P1" s="44"/>
    </row>
    <row r="2" spans="1:16" ht="26.25" x14ac:dyDescent="0.4">
      <c r="A2" s="112" t="s">
        <v>18</v>
      </c>
      <c r="B2" s="113"/>
      <c r="C2" s="113"/>
      <c r="D2" s="113"/>
      <c r="E2" s="113"/>
      <c r="F2" s="113"/>
      <c r="G2" s="113"/>
      <c r="H2" s="114"/>
      <c r="I2" s="42"/>
    </row>
    <row r="3" spans="1:16" ht="30" customHeight="1" thickBot="1" x14ac:dyDescent="0.3">
      <c r="A3" s="115" t="s">
        <v>24</v>
      </c>
      <c r="B3" s="116"/>
      <c r="C3" s="116"/>
      <c r="D3" s="116"/>
      <c r="E3" s="116"/>
      <c r="F3" s="116"/>
      <c r="G3" s="116"/>
      <c r="H3" s="117"/>
    </row>
    <row r="5" spans="1:16" ht="15.75" thickBot="1" x14ac:dyDescent="0.3"/>
    <row r="6" spans="1:16" ht="22.5" customHeight="1" thickBot="1" x14ac:dyDescent="0.4">
      <c r="A6" s="161" t="s">
        <v>4</v>
      </c>
      <c r="B6" s="161"/>
      <c r="C6" s="161"/>
      <c r="D6" s="161"/>
      <c r="E6" s="161" t="s">
        <v>4</v>
      </c>
      <c r="F6" s="161"/>
      <c r="G6" s="161"/>
      <c r="H6" s="161"/>
      <c r="I6" s="157" t="s">
        <v>71</v>
      </c>
      <c r="J6" s="158"/>
      <c r="K6" s="158"/>
      <c r="L6" s="158"/>
      <c r="M6" s="158"/>
      <c r="N6" s="158"/>
      <c r="O6" s="60"/>
      <c r="P6" s="61"/>
    </row>
    <row r="7" spans="1:16" ht="88.5" customHeight="1" thickBot="1" x14ac:dyDescent="0.3">
      <c r="A7" s="162" t="s">
        <v>69</v>
      </c>
      <c r="B7" s="163"/>
      <c r="C7" s="163"/>
      <c r="D7" s="163"/>
      <c r="E7" s="164"/>
      <c r="F7" s="38" t="s">
        <v>21</v>
      </c>
      <c r="G7" s="38" t="s">
        <v>23</v>
      </c>
      <c r="H7" s="39" t="s">
        <v>22</v>
      </c>
      <c r="I7" s="63" t="s">
        <v>44</v>
      </c>
      <c r="J7" s="64" t="s">
        <v>45</v>
      </c>
      <c r="K7" s="64" t="s">
        <v>70</v>
      </c>
      <c r="L7" s="64" t="s">
        <v>46</v>
      </c>
      <c r="M7" s="64" t="s">
        <v>47</v>
      </c>
      <c r="N7" s="64" t="s">
        <v>48</v>
      </c>
      <c r="O7" s="64" t="s">
        <v>43</v>
      </c>
      <c r="P7" s="65" t="s">
        <v>49</v>
      </c>
    </row>
    <row r="8" spans="1:16" s="17" customFormat="1" ht="67.5" customHeight="1" x14ac:dyDescent="0.35">
      <c r="A8" s="165" t="s">
        <v>9</v>
      </c>
      <c r="B8" s="166"/>
      <c r="C8" s="166"/>
      <c r="D8" s="166"/>
      <c r="E8" s="166"/>
      <c r="F8" s="36">
        <v>114.48</v>
      </c>
      <c r="G8" s="36">
        <v>22.9</v>
      </c>
      <c r="H8" s="37">
        <v>137.38</v>
      </c>
      <c r="I8" s="62">
        <v>137.38</v>
      </c>
      <c r="J8" s="62">
        <v>137.38</v>
      </c>
      <c r="K8" s="62">
        <v>137.38</v>
      </c>
      <c r="L8" s="62">
        <v>137.38</v>
      </c>
      <c r="M8" s="62">
        <v>137.38</v>
      </c>
      <c r="N8" s="62">
        <v>137.38</v>
      </c>
      <c r="O8" s="62">
        <v>137.38</v>
      </c>
      <c r="P8" s="62">
        <v>137.38</v>
      </c>
    </row>
    <row r="9" spans="1:16" s="17" customFormat="1" ht="67.5" customHeight="1" x14ac:dyDescent="0.35">
      <c r="A9" s="167" t="s">
        <v>10</v>
      </c>
      <c r="B9" s="167"/>
      <c r="C9" s="167"/>
      <c r="D9" s="167"/>
      <c r="E9" s="167"/>
      <c r="F9" s="19">
        <v>158.11000000000001</v>
      </c>
      <c r="G9" s="19">
        <v>31.62</v>
      </c>
      <c r="H9" s="32">
        <v>189.73</v>
      </c>
      <c r="I9" s="48">
        <v>189.73</v>
      </c>
      <c r="J9" s="48">
        <v>189.73</v>
      </c>
      <c r="K9" s="48">
        <v>189.73</v>
      </c>
      <c r="L9" s="48"/>
      <c r="M9" s="48">
        <v>189.73</v>
      </c>
      <c r="N9" s="48">
        <v>189.73</v>
      </c>
      <c r="O9" s="48">
        <v>189.73</v>
      </c>
      <c r="P9" s="48">
        <v>189.73</v>
      </c>
    </row>
    <row r="10" spans="1:16" s="17" customFormat="1" ht="67.5" customHeight="1" x14ac:dyDescent="0.35">
      <c r="A10" s="167" t="s">
        <v>13</v>
      </c>
      <c r="B10" s="167"/>
      <c r="C10" s="167"/>
      <c r="D10" s="167"/>
      <c r="E10" s="167"/>
      <c r="F10" s="19">
        <v>60.37</v>
      </c>
      <c r="G10" s="19">
        <v>12.07</v>
      </c>
      <c r="H10" s="32">
        <v>72.44</v>
      </c>
      <c r="I10" s="48"/>
      <c r="J10" s="48"/>
      <c r="K10" s="47">
        <v>72.44</v>
      </c>
      <c r="L10" s="49"/>
      <c r="M10" s="49"/>
      <c r="N10" s="48"/>
      <c r="O10" s="48"/>
      <c r="P10" s="48"/>
    </row>
    <row r="11" spans="1:16" s="17" customFormat="1" ht="67.5" customHeight="1" x14ac:dyDescent="0.35">
      <c r="A11" s="167" t="s">
        <v>19</v>
      </c>
      <c r="B11" s="167"/>
      <c r="C11" s="167"/>
      <c r="D11" s="167"/>
      <c r="E11" s="167"/>
      <c r="F11" s="19">
        <v>145.85</v>
      </c>
      <c r="G11" s="19">
        <v>29.17</v>
      </c>
      <c r="H11" s="32">
        <v>175.02</v>
      </c>
      <c r="I11" s="48"/>
      <c r="J11" s="47">
        <v>175.02</v>
      </c>
      <c r="K11" s="47">
        <v>175.02</v>
      </c>
      <c r="L11" s="48"/>
      <c r="M11" s="48"/>
      <c r="N11" s="47">
        <v>175.02</v>
      </c>
      <c r="O11" s="48"/>
      <c r="P11" s="48"/>
    </row>
    <row r="12" spans="1:16" s="17" customFormat="1" ht="67.5" customHeight="1" x14ac:dyDescent="0.35">
      <c r="A12" s="168" t="s">
        <v>11</v>
      </c>
      <c r="B12" s="168"/>
      <c r="C12" s="168"/>
      <c r="D12" s="168"/>
      <c r="E12" s="168"/>
      <c r="F12" s="40">
        <v>405.73</v>
      </c>
      <c r="G12" s="40">
        <v>81.150000000000006</v>
      </c>
      <c r="H12" s="41">
        <v>486.88</v>
      </c>
      <c r="I12" s="50"/>
      <c r="J12" s="51"/>
      <c r="K12" s="52"/>
      <c r="L12" s="51"/>
      <c r="M12" s="53"/>
      <c r="N12" s="51"/>
      <c r="O12" s="54">
        <v>486.88</v>
      </c>
      <c r="P12" s="51"/>
    </row>
    <row r="13" spans="1:16" s="17" customFormat="1" ht="67.5" customHeight="1" x14ac:dyDescent="0.35">
      <c r="A13" s="155" t="s">
        <v>20</v>
      </c>
      <c r="B13" s="156"/>
      <c r="C13" s="156"/>
      <c r="D13" s="156"/>
      <c r="E13" s="156"/>
      <c r="F13" s="19">
        <v>218.75</v>
      </c>
      <c r="G13" s="19">
        <v>43.75</v>
      </c>
      <c r="H13" s="32">
        <v>262.5</v>
      </c>
      <c r="I13" s="55"/>
      <c r="J13" s="49"/>
      <c r="K13" s="49"/>
      <c r="L13" s="49"/>
      <c r="M13" s="47">
        <v>262.5</v>
      </c>
      <c r="N13" s="49"/>
      <c r="O13" s="49"/>
      <c r="P13" s="49"/>
    </row>
    <row r="14" spans="1:16" s="17" customFormat="1" ht="67.5" customHeight="1" x14ac:dyDescent="0.35">
      <c r="A14" s="159" t="s">
        <v>12</v>
      </c>
      <c r="B14" s="160"/>
      <c r="C14" s="160"/>
      <c r="D14" s="160"/>
      <c r="E14" s="160"/>
      <c r="F14" s="40">
        <v>608.62</v>
      </c>
      <c r="G14" s="40">
        <v>121.72</v>
      </c>
      <c r="H14" s="41">
        <v>730.34</v>
      </c>
      <c r="I14" s="52"/>
      <c r="J14" s="51"/>
      <c r="K14" s="51"/>
      <c r="L14" s="51"/>
      <c r="M14" s="51"/>
      <c r="N14" s="51"/>
      <c r="O14" s="51"/>
      <c r="P14" s="52">
        <v>730.34</v>
      </c>
    </row>
    <row r="15" spans="1:16" s="17" customFormat="1" ht="67.5" customHeight="1" thickBot="1" x14ac:dyDescent="0.4">
      <c r="A15" s="155" t="s">
        <v>42</v>
      </c>
      <c r="B15" s="156"/>
      <c r="C15" s="156"/>
      <c r="D15" s="156"/>
      <c r="E15" s="156"/>
      <c r="F15" s="19">
        <v>81.12</v>
      </c>
      <c r="G15" s="19">
        <v>16.22</v>
      </c>
      <c r="H15" s="32">
        <v>97.34</v>
      </c>
      <c r="I15" s="48"/>
      <c r="J15" s="49"/>
      <c r="K15" s="49"/>
      <c r="L15" s="49"/>
      <c r="M15" s="49"/>
      <c r="N15" s="47">
        <v>97.34</v>
      </c>
      <c r="O15" s="56"/>
      <c r="P15" s="56"/>
    </row>
    <row r="16" spans="1:16" ht="49.5" customHeight="1" thickBot="1" x14ac:dyDescent="0.3">
      <c r="A16" s="92" t="s">
        <v>15</v>
      </c>
      <c r="B16" s="92"/>
      <c r="C16" s="92"/>
      <c r="D16" s="92"/>
      <c r="E16" s="92"/>
      <c r="F16" s="92"/>
      <c r="G16" s="92"/>
      <c r="H16" s="92"/>
      <c r="I16" s="57">
        <f>I8+I9</f>
        <v>327.11</v>
      </c>
      <c r="J16" s="58">
        <f>SUM(J8:J15)</f>
        <v>502.13</v>
      </c>
      <c r="K16" s="58">
        <f>SUM(K8:K15)</f>
        <v>574.57000000000005</v>
      </c>
      <c r="L16" s="58">
        <f>SUM(L8:L11)</f>
        <v>137.38</v>
      </c>
      <c r="M16" s="58">
        <f>SUM(M8:M15)</f>
        <v>589.61</v>
      </c>
      <c r="N16" s="59">
        <f>SUM(N8:N15)</f>
        <v>599.47</v>
      </c>
      <c r="O16" s="59">
        <f t="shared" ref="O16:P16" si="0">SUM(O8:O15)</f>
        <v>813.99</v>
      </c>
      <c r="P16" s="59">
        <f t="shared" si="0"/>
        <v>1057.45</v>
      </c>
    </row>
    <row r="17" spans="1:8" ht="41.25" customHeight="1" x14ac:dyDescent="0.25">
      <c r="A17" s="100" t="s">
        <v>4</v>
      </c>
      <c r="B17" s="100"/>
      <c r="C17" s="100"/>
      <c r="D17" s="100"/>
      <c r="E17" s="100"/>
      <c r="F17" s="100"/>
      <c r="G17" s="100"/>
      <c r="H17" s="100"/>
    </row>
    <row r="18" spans="1:8" ht="33" customHeight="1" x14ac:dyDescent="0.25">
      <c r="A18" s="99" t="s">
        <v>16</v>
      </c>
      <c r="B18" s="99"/>
      <c r="C18" s="99"/>
      <c r="D18" s="99"/>
      <c r="E18" s="99"/>
      <c r="F18" s="99"/>
      <c r="G18" s="99"/>
      <c r="H18" s="99"/>
    </row>
    <row r="19" spans="1:8" ht="33" customHeight="1" x14ac:dyDescent="0.25">
      <c r="A19" s="99" t="s">
        <v>17</v>
      </c>
      <c r="B19" s="99"/>
      <c r="C19" s="99"/>
      <c r="D19" s="99"/>
      <c r="E19" s="99"/>
      <c r="F19" s="99"/>
      <c r="G19" s="99"/>
      <c r="H19" s="99"/>
    </row>
  </sheetData>
  <mergeCells count="19">
    <mergeCell ref="I6:N6"/>
    <mergeCell ref="A14:E14"/>
    <mergeCell ref="A1:H1"/>
    <mergeCell ref="A2:H2"/>
    <mergeCell ref="A3:H3"/>
    <mergeCell ref="A6:D6"/>
    <mergeCell ref="E6:H6"/>
    <mergeCell ref="A7:E7"/>
    <mergeCell ref="A8:E8"/>
    <mergeCell ref="A9:E9"/>
    <mergeCell ref="A11:E11"/>
    <mergeCell ref="A12:E12"/>
    <mergeCell ref="A13:E13"/>
    <mergeCell ref="A10:E10"/>
    <mergeCell ref="A16:H16"/>
    <mergeCell ref="A17:H17"/>
    <mergeCell ref="A18:H18"/>
    <mergeCell ref="A19:H19"/>
    <mergeCell ref="A15:E15"/>
  </mergeCells>
  <pageMargins left="0.25" right="0.25" top="0.75" bottom="0.75" header="0.3" footer="0.3"/>
  <pageSetup paperSize="9" scale="4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Devis NTR 2026(calculs auto.)</vt:lpstr>
      <vt:lpstr>Devis NTR 2026(vierge)</vt:lpstr>
      <vt:lpstr>FORFAITS 2026</vt:lpstr>
      <vt:lpstr>'Devis NTR 2026(calculs auto.)'!Zone_d_impression</vt:lpstr>
      <vt:lpstr>'Devis NTR 2026(vierge)'!Zone_d_impression</vt:lpstr>
      <vt:lpstr>'FORFAITS 2026'!Zone_d_impression</vt:lpstr>
    </vt:vector>
  </TitlesOfParts>
  <Company>OGF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BRAVO</dc:creator>
  <cp:lastModifiedBy>Maison Funéraire de Nanterre</cp:lastModifiedBy>
  <cp:lastPrinted>2026-04-09T10:31:53Z</cp:lastPrinted>
  <dcterms:created xsi:type="dcterms:W3CDTF">2020-11-26T10:47:20Z</dcterms:created>
  <dcterms:modified xsi:type="dcterms:W3CDTF">2026-04-09T10:32:51Z</dcterms:modified>
</cp:coreProperties>
</file>